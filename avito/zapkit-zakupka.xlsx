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Киты" sheetId="2" state="visible" r:id="rId4"/>
    <sheet name="Заявки" sheetId="3" state="visible" r:id="rId5"/>
    <sheet name="Прогноз" sheetId="4" state="visible" r:id="rId6"/>
    <sheet name="Параметры" sheetId="5" state="visible" r:id="rId7"/>
    <sheet name="Состав" sheetId="6" state="visible" r:id="rId8"/>
    <sheet name="Поставщики" sheetId="7" state="visible" r:id="rId9"/>
    <sheet name="Моторы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Сколько позиций с кол-вом &gt; 0 ещё без цены. 0 — кит полностью посчитан.</t>
        </r>
      </text>
    </comment>
    <comment ref="M1" authorId="0">
      <text>
        <r>
          <rPr>
            <sz val="10"/>
            <rFont val="Arial"/>
            <family val="2"/>
          </rPr>
          <t xml:space="preserve">База — по наценке с листа «Параметры» или цена по рынку из колонки Y, если она есть. Сверху — «Повышение цен» с листа «Параметры», затем округление до …90.</t>
        </r>
      </text>
    </comment>
    <comment ref="U1" authorId="0">
      <text>
        <r>
          <rPr>
            <sz val="10"/>
            <rFont val="Arial"/>
            <family val="2"/>
          </rPr>
          <t xml:space="preserve">До налога: цена − закупка − комиссия Авито − показы − резерв − постоянные расходы.</t>
        </r>
      </text>
    </comment>
    <comment ref="V1" authorId="0">
      <text>
        <r>
          <rPr>
            <sz val="10"/>
            <rFont val="Arial"/>
            <family val="2"/>
          </rPr>
          <t xml:space="preserve">До налога: цена − закупка − комиссия банка − показы − резерв − постоянные расходы − СДЭК за ваш счёт.</t>
        </r>
      </text>
    </comment>
    <comment ref="Y1" authorId="0">
      <text>
        <r>
          <rPr>
            <sz val="10"/>
            <rFont val="Arial"/>
            <family val="2"/>
          </rPr>
          <t xml:space="preserve">Для китов, где цену ставим по рынку, а не по наценке: впишите цену, по которой конечный покупатель берёт то же самое на маркетплейсах. Повышение цен добавится сверху. Пусто — цена по наценке.</t>
        </r>
      </text>
    </comment>
    <comment ref="Y26" authorId="0">
      <text>
        <r>
          <rPr>
            <sz val="10"/>
            <rFont val="Arial"/>
            <family val="2"/>
          </rPr>
          <t xml:space="preserve">Рыночная база (сентябрь 2026): Gates K0120529 отдельно — 7 290–10 526 ₽ в рознице, ремень помпы — 740–1 679 ₽. Итоговая цена — база плюс повышение с листа «Параметры»; даже с ним кит дешевле, чем Gates и ремень помпы по отдельности на Яндекс Маркете.</t>
        </r>
      </text>
    </comment>
    <comment ref="Y27" authorId="0">
      <text>
        <r>
          <rPr>
            <sz val="10"/>
            <rFont val="Arial"/>
            <family val="2"/>
          </rPr>
          <t xml:space="preserve">Рыночная база (сентябрь 2026): диск AMD в рознице ≈1 700–2 300 ₽ за штуку, колодки AMDBF453 — 806–1 289 ₽ (обычно ≈1 020), смазка ≈100–150 ₽. По отдельности покупатель отдаст ≈5 150 ₽ (от 4 300 до 6 000). Итоговая цена — база плюс повышение с листа «Параметры».</t>
        </r>
      </text>
    </comment>
    <comment ref="Y28" authorId="0">
      <text>
        <r>
          <rPr>
            <sz val="10"/>
            <rFont val="Arial"/>
            <family val="2"/>
          </rPr>
          <t xml:space="preserve">Рыночная база (сентябрь 2026): диск AMD в рознице ≈1 700–2 300 ₽ за штуку, колодки AMDBF453 — 806–1 289 ₽ (обычно ≈1 020), смазка ≈100–150 ₽. По отдельности покупатель отдаст ≈5 150 ₽ (от 4 300 до 6 000). Итоговая цена — база плюс повышение с листа «Параметры».</t>
        </r>
      </text>
    </comment>
  </commentList>
</comments>
</file>

<file path=xl/sharedStrings.xml><?xml version="1.0" encoding="utf-8"?>
<sst xmlns="http://schemas.openxmlformats.org/spreadsheetml/2006/main" count="887" uniqueCount="400">
  <si>
    <t xml:space="preserve">ZAPKIT — таблица закупки и цен</t>
  </si>
  <si>
    <t xml:space="preserve">Как пользоваться:</t>
  </si>
  <si>
    <t xml:space="preserve">1. «Поставщики» — заполните условия каждого поставщика: склад в Сочи/Адлере, отсечка, срок, возврат.</t>
  </si>
  <si>
    <t xml:space="preserve">2. «Состав» — для каждой позиции подберите по VIN/каталогу бренд и артикул и впишите цены у тех поставщиков, где она есть.</t>
  </si>
  <si>
    <t xml:space="preserve">    Лучшая цена, поставщик и сумма посчитаются сами. Кол-во 0 = позиция не входит (например, помпа); поставьте 1, если нужна.</t>
  </si>
  <si>
    <t xml:space="preserve">3. «Киты» — сами посчитаются закупка, цена на Авито и прибыль до налога в двух вариантах: оплата через Авито Доставку и прямым переводом.</t>
  </si>
  <si>
    <t xml:space="preserve">    Впишите минимальную цену конкурентов — появится сравнение с рынком. Колонка Y «Цена по рынку (база)» — если цену кита ставим по рынку, а не по наценке.</t>
  </si>
  <si>
    <t xml:space="preserve">4. «Параметры» — наценка, повышение цен (+5%), комиссии, резерв на товар, постоянные расходы и план заказов. Поменяете там — пересчитается всё.</t>
  </si>
  <si>
    <t xml:space="preserve">5. «Прогноз» — выручка и прибыль за месяц: ТО, ГРМ и тормоз-киты отдельно и вместе, точка безубыточности.</t>
  </si>
  <si>
    <t xml:space="preserve">6. «Моторы» — справка: где цепь, где ремень, что входит в ГРМ-кит, источники.</t>
  </si>
  <si>
    <t xml:space="preserve">7. «Заявки» — каждое обращение на Авито: VIN, статус, следующий шаг. Справа считается воронка. Как вести — docs/avito/client-loop.md.</t>
  </si>
  <si>
    <t xml:space="preserve">Обозначения:</t>
  </si>
  <si>
    <t xml:space="preserve">Жёлтая заливка и синий текст — ячейки, которые заполняете вы.</t>
  </si>
  <si>
    <t xml:space="preserve">Чёрный текст без заливки — формулы, их не трогайте.</t>
  </si>
  <si>
    <t xml:space="preserve">Серая строка «ПРИМЕР» на листах — образец заполнения, её можно удалить.</t>
  </si>
  <si>
    <t xml:space="preserve">Кит</t>
  </si>
  <si>
    <t xml:space="preserve">Вид</t>
  </si>
  <si>
    <t xml:space="preserve">Машина</t>
  </si>
  <si>
    <t xml:space="preserve">Мотор</t>
  </si>
  <si>
    <t xml:space="preserve">Привод ГРМ</t>
  </si>
  <si>
    <t xml:space="preserve">Приоритет</t>
  </si>
  <si>
    <t xml:space="preserve">Заголовок для Авито</t>
  </si>
  <si>
    <t xml:space="preserve">Главное фото (avito/png/…)</t>
  </si>
  <si>
    <t xml:space="preserve">Детали, ₽</t>
  </si>
  <si>
    <t xml:space="preserve">Позиций без цены</t>
  </si>
  <si>
    <t xml:space="preserve">Упаковка, ₽</t>
  </si>
  <si>
    <t xml:space="preserve">Закупка, ₽</t>
  </si>
  <si>
    <t xml:space="preserve">Цена на Авито, ₽</t>
  </si>
  <si>
    <t xml:space="preserve">Мин. цена конкурентов, ₽</t>
  </si>
  <si>
    <t xml:space="preserve">Сравнение с рынком</t>
  </si>
  <si>
    <t xml:space="preserve">Комиссия Авито, ₽</t>
  </si>
  <si>
    <t xml:space="preserve">Комиссия банка, ₽</t>
  </si>
  <si>
    <t xml:space="preserve">Показы, ₽</t>
  </si>
  <si>
    <t xml:space="preserve">Резерв на товар, ₽</t>
  </si>
  <si>
    <t xml:space="preserve">Постоянные расходы, ₽</t>
  </si>
  <si>
    <t xml:space="preserve">Прибыль: Авито Доставка, ₽</t>
  </si>
  <si>
    <t xml:space="preserve">Прибыль: перевод, ₽</t>
  </si>
  <si>
    <t xml:space="preserve">Маржа (Авито Доставка)</t>
  </si>
  <si>
    <t xml:space="preserve">Статус</t>
  </si>
  <si>
    <t xml:space="preserve">Цена по рынку (база), ₽</t>
  </si>
  <si>
    <t xml:space="preserve">TO-01</t>
  </si>
  <si>
    <t xml:space="preserve">ТО</t>
  </si>
  <si>
    <t xml:space="preserve">Hyundai Solaris 2010–2017</t>
  </si>
  <si>
    <t xml:space="preserve">G4FA / G4FC</t>
  </si>
  <si>
    <t xml:space="preserve">цепь</t>
  </si>
  <si>
    <t xml:space="preserve">высокий</t>
  </si>
  <si>
    <t xml:space="preserve">ТО-кит Hyundai Solaris 2010–2017: масло и фильтры</t>
  </si>
  <si>
    <t xml:space="preserve">to-01-solaris-2010-1-main.png</t>
  </si>
  <si>
    <t xml:space="preserve">не выложен</t>
  </si>
  <si>
    <t xml:space="preserve">TO-02</t>
  </si>
  <si>
    <t xml:space="preserve">Hyundai Solaris 2017–2022</t>
  </si>
  <si>
    <t xml:space="preserve">G4LC / G4FG</t>
  </si>
  <si>
    <t xml:space="preserve">ТО-кит Hyundai Solaris 2017–2022: масло и фильтры</t>
  </si>
  <si>
    <t xml:space="preserve">to-02-solaris-2017-1-main.png</t>
  </si>
  <si>
    <t xml:space="preserve">TO-03</t>
  </si>
  <si>
    <t xml:space="preserve">Kia Rio 2011–2017</t>
  </si>
  <si>
    <t xml:space="preserve">ТО-кит Kia Rio 3 2011–2017: масло и фильтры</t>
  </si>
  <si>
    <t xml:space="preserve">to-03-rio-3-1-main.png</t>
  </si>
  <si>
    <t xml:space="preserve">TO-04</t>
  </si>
  <si>
    <t xml:space="preserve">Kia Rio 2017–2021</t>
  </si>
  <si>
    <t xml:space="preserve">ТО-кит Kia Rio 4 2017–2021: масло и фильтры</t>
  </si>
  <si>
    <t xml:space="preserve">to-04-rio-4-1-main.png</t>
  </si>
  <si>
    <t xml:space="preserve">TO-05</t>
  </si>
  <si>
    <t xml:space="preserve">VW Polo 1.6 CFNA</t>
  </si>
  <si>
    <t xml:space="preserve">CFNA / CFNB</t>
  </si>
  <si>
    <t xml:space="preserve">ТО-кит VW Polo 1.6 CFNA: масло и фильтры</t>
  </si>
  <si>
    <t xml:space="preserve">to-05-polo-cfna-1-main.png</t>
  </si>
  <si>
    <t xml:space="preserve">TO-06</t>
  </si>
  <si>
    <t xml:space="preserve">VW Polo 1.6 CWVA</t>
  </si>
  <si>
    <t xml:space="preserve">CWVA / CWVB</t>
  </si>
  <si>
    <t xml:space="preserve">ремень</t>
  </si>
  <si>
    <t xml:space="preserve">ТО-кит VW Polo 1.6 CWVA: масло и фильтры</t>
  </si>
  <si>
    <t xml:space="preserve">to-06-polo-cwva-1-main.png</t>
  </si>
  <si>
    <t xml:space="preserve">TO-07</t>
  </si>
  <si>
    <t xml:space="preserve">Haval Jolion 1.5T</t>
  </si>
  <si>
    <t xml:space="preserve">GW4B15A</t>
  </si>
  <si>
    <t xml:space="preserve">ТО-кит Haval Jolion 1.5T: масло и фильтры</t>
  </si>
  <si>
    <t xml:space="preserve">to-07-jolion-1-main.png</t>
  </si>
  <si>
    <t xml:space="preserve">TO-08</t>
  </si>
  <si>
    <t xml:space="preserve">Haval F7 / F7x 1.5T</t>
  </si>
  <si>
    <t xml:space="preserve">GW4B15</t>
  </si>
  <si>
    <t xml:space="preserve">ТО-кит Haval F7/F7x 1.5T: масло и фильтры</t>
  </si>
  <si>
    <t xml:space="preserve">to-08-f7-15-1-main.png</t>
  </si>
  <si>
    <t xml:space="preserve">TO-09</t>
  </si>
  <si>
    <t xml:space="preserve">Haval F7 / F7x 2.0T</t>
  </si>
  <si>
    <t xml:space="preserve">GW4C20</t>
  </si>
  <si>
    <t xml:space="preserve">ТО-кит Haval F7/F7x 2.0T: масло и фильтры</t>
  </si>
  <si>
    <t xml:space="preserve">to-09-f7-20-1-main.png</t>
  </si>
  <si>
    <t xml:space="preserve">TO-10</t>
  </si>
  <si>
    <t xml:space="preserve">Chery Tiggo 7 Pro 1.5T</t>
  </si>
  <si>
    <t xml:space="preserve">SQRE4T15C</t>
  </si>
  <si>
    <t xml:space="preserve">ТО-кит Chery Tiggo 7 Pro 1.5T: масло и фильтры</t>
  </si>
  <si>
    <t xml:space="preserve">to-10-tiggo-7pro-1-main.png</t>
  </si>
  <si>
    <t xml:space="preserve">TO-11</t>
  </si>
  <si>
    <t xml:space="preserve">Chery Tiggo 4 Pro 1.5T</t>
  </si>
  <si>
    <t xml:space="preserve">ТО-кит Chery Tiggo 4 Pro 1.5T: масло и фильтры</t>
  </si>
  <si>
    <t xml:space="preserve">to-11-tiggo-4pro-1-main.png</t>
  </si>
  <si>
    <t xml:space="preserve">TO-12</t>
  </si>
  <si>
    <t xml:space="preserve">Geely Coolray 1.5T</t>
  </si>
  <si>
    <t xml:space="preserve">JLH-3G15TD</t>
  </si>
  <si>
    <t xml:space="preserve">ремень + ремень помпы</t>
  </si>
  <si>
    <t xml:space="preserve">ТО-кит Geely Coolray 1.5T: масло и фильтры</t>
  </si>
  <si>
    <t xml:space="preserve">to-12-coolray-1-main.png</t>
  </si>
  <si>
    <t xml:space="preserve">TO-13</t>
  </si>
  <si>
    <t xml:space="preserve">Kia Picanto 1.0 / 1.2</t>
  </si>
  <si>
    <t xml:space="preserve">G3LA 1.0 / G4LA 1.2</t>
  </si>
  <si>
    <t xml:space="preserve">ТО-кит Kia Picanto 1.0/1.2: масло и фильтры</t>
  </si>
  <si>
    <t xml:space="preserve">to-13-picanto-1-main.png</t>
  </si>
  <si>
    <t xml:space="preserve">TO-14</t>
  </si>
  <si>
    <t xml:space="preserve">VW Jetta</t>
  </si>
  <si>
    <t xml:space="preserve">уточнить по VIN</t>
  </si>
  <si>
    <t xml:space="preserve">—</t>
  </si>
  <si>
    <t xml:space="preserve">ТО-кит VW Jetta: масло и фильтры</t>
  </si>
  <si>
    <t xml:space="preserve">to-14-jetta-1-main.png</t>
  </si>
  <si>
    <t xml:space="preserve">GRM-01</t>
  </si>
  <si>
    <t xml:space="preserve">ГРМ</t>
  </si>
  <si>
    <t xml:space="preserve">ГРМ-кит Hyundai Solaris 2010–2017: цепь</t>
  </si>
  <si>
    <t xml:space="preserve">grm-01-solaris-2010-1-main.png</t>
  </si>
  <si>
    <t xml:space="preserve">GRM-02</t>
  </si>
  <si>
    <t xml:space="preserve">ГРМ-кит Hyundai Solaris 2017–2022: цепь</t>
  </si>
  <si>
    <t xml:space="preserve">grm-02-solaris-2017-1-main.png</t>
  </si>
  <si>
    <t xml:space="preserve">GRM-03</t>
  </si>
  <si>
    <t xml:space="preserve">ГРМ-кит Kia Rio 3 2011–2017: цепь, натяжитель</t>
  </si>
  <si>
    <t xml:space="preserve">grm-03-rio-3-1-main.png</t>
  </si>
  <si>
    <t xml:space="preserve">GRM-04</t>
  </si>
  <si>
    <t xml:space="preserve">ГРМ-кит Kia Rio 4 2017–2021: цепь, натяжитель</t>
  </si>
  <si>
    <t xml:space="preserve">grm-04-rio-4-1-main.png</t>
  </si>
  <si>
    <t xml:space="preserve">GRM-05</t>
  </si>
  <si>
    <t xml:space="preserve">средний</t>
  </si>
  <si>
    <t xml:space="preserve">ГРМ-кит VW Polo 1.6 CFNA: цепь, натяжитель</t>
  </si>
  <si>
    <t xml:space="preserve">grm-05-polo-cfna-1-main.png</t>
  </si>
  <si>
    <t xml:space="preserve">GRM-06</t>
  </si>
  <si>
    <t xml:space="preserve">ГРМ-кит VW Polo 1.6 CWVA: ремень и ролик</t>
  </si>
  <si>
    <t xml:space="preserve">grm-06-polo-cwva-1-main.png</t>
  </si>
  <si>
    <t xml:space="preserve">GRM-07</t>
  </si>
  <si>
    <t xml:space="preserve">ГРМ-кит Haval Jolion 1.5T: цепь, натяжитель</t>
  </si>
  <si>
    <t xml:space="preserve">grm-07-jolion-1-main.png</t>
  </si>
  <si>
    <t xml:space="preserve">GRM-08</t>
  </si>
  <si>
    <t xml:space="preserve">ГРМ-кит Haval F7/F7x 1.5T: цепь, натяжитель</t>
  </si>
  <si>
    <t xml:space="preserve">grm-08-f7-15-1-main.png</t>
  </si>
  <si>
    <t xml:space="preserve">GRM-09</t>
  </si>
  <si>
    <t xml:space="preserve">ГРМ-кит Haval F7/F7x 2.0T: цепь, натяжитель</t>
  </si>
  <si>
    <t xml:space="preserve">grm-09-f7-20-1-main.png</t>
  </si>
  <si>
    <t xml:space="preserve">GRM-10</t>
  </si>
  <si>
    <t xml:space="preserve">Chery Tiggo 7 Pro / 4 Pro 1.5T</t>
  </si>
  <si>
    <t xml:space="preserve">позже</t>
  </si>
  <si>
    <t xml:space="preserve">ГРМ-кит Chery Tiggo 7 Pro/4 Pro 1.5T: цепь</t>
  </si>
  <si>
    <t xml:space="preserve">grm-10-tiggo-7pro-1-main.png</t>
  </si>
  <si>
    <t xml:space="preserve">GRM-12</t>
  </si>
  <si>
    <t xml:space="preserve">ГРМ-кит Gates Geely Coolray 1.5T: ремни и ролики</t>
  </si>
  <si>
    <t xml:space="preserve">grm-12-coolray-1-main.png</t>
  </si>
  <si>
    <t xml:space="preserve">TRM-01</t>
  </si>
  <si>
    <t xml:space="preserve">Тормоза</t>
  </si>
  <si>
    <t xml:space="preserve">все моторы</t>
  </si>
  <si>
    <t xml:space="preserve">Тормоз-кит Kia Rio 4 2017–2021: диски и колодки</t>
  </si>
  <si>
    <t xml:space="preserve">trm-01-rio-4-1-main.png</t>
  </si>
  <si>
    <t xml:space="preserve">TRM-02</t>
  </si>
  <si>
    <t xml:space="preserve">Тормоз-кит Hyundai Solaris 2017+: диски, колодки</t>
  </si>
  <si>
    <t xml:space="preserve">trm-02-solaris-2017-1-main.png</t>
  </si>
  <si>
    <t xml:space="preserve">№</t>
  </si>
  <si>
    <t xml:space="preserve">Дата и время</t>
  </si>
  <si>
    <t xml:space="preserve">Покупатель (имя на Авито)</t>
  </si>
  <si>
    <t xml:space="preserve">Откуда</t>
  </si>
  <si>
    <t xml:space="preserve">Кит / что спросил</t>
  </si>
  <si>
    <t xml:space="preserve">VIN</t>
  </si>
  <si>
    <t xml:space="preserve">Первый ответ, мин</t>
  </si>
  <si>
    <t xml:space="preserve">Сумма, ₽</t>
  </si>
  <si>
    <t xml:space="preserve">Оплата</t>
  </si>
  <si>
    <t xml:space="preserve">Причина отказа</t>
  </si>
  <si>
    <t xml:space="preserve">Следующий шаг</t>
  </si>
  <si>
    <t xml:space="preserve">Когда</t>
  </si>
  <si>
    <t xml:space="preserve">Комментарий</t>
  </si>
  <si>
    <t xml:space="preserve">Воронка (по всем строкам)</t>
  </si>
  <si>
    <t xml:space="preserve">ПРИМЕР</t>
  </si>
  <si>
    <t xml:space="preserve">28.09 10:15</t>
  </si>
  <si>
    <t xml:space="preserve">Андрей</t>
  </si>
  <si>
    <t xml:space="preserve">чат</t>
  </si>
  <si>
    <t xml:space="preserve">Kia Rio 2019</t>
  </si>
  <si>
    <t xml:space="preserve">Z94C…</t>
  </si>
  <si>
    <t xml:space="preserve">7. В обработке</t>
  </si>
  <si>
    <t xml:space="preserve">Авито Доставка</t>
  </si>
  <si>
    <t xml:space="preserve">Заказать у поставщика до отсечки</t>
  </si>
  <si>
    <t xml:space="preserve">28.09</t>
  </si>
  <si>
    <t xml:space="preserve">образец заполнения — строку можно удалить</t>
  </si>
  <si>
    <t xml:space="preserve">Всего обращений</t>
  </si>
  <si>
    <t xml:space="preserve">1. Новый</t>
  </si>
  <si>
    <t xml:space="preserve">2. Ждём VIN</t>
  </si>
  <si>
    <t xml:space="preserve">3. Подбор</t>
  </si>
  <si>
    <t xml:space="preserve">4. Предложение</t>
  </si>
  <si>
    <t xml:space="preserve">5. Думает</t>
  </si>
  <si>
    <t xml:space="preserve">6. Ждём оплату</t>
  </si>
  <si>
    <t xml:space="preserve">Отказ</t>
  </si>
  <si>
    <t xml:space="preserve">Доля заказов (в обработке ÷ всего)</t>
  </si>
  <si>
    <t xml:space="preserve">Среднее время первого ответа, мин</t>
  </si>
  <si>
    <t xml:space="preserve">Выручка по заказам в обработке, ₽</t>
  </si>
  <si>
    <t xml:space="preserve">Причины отказов</t>
  </si>
  <si>
    <t xml:space="preserve">не ответил</t>
  </si>
  <si>
    <t xml:space="preserve">дорого</t>
  </si>
  <si>
    <t xml:space="preserve">не подошло</t>
  </si>
  <si>
    <t xml:space="preserve">нет в наличии</t>
  </si>
  <si>
    <t xml:space="preserve">долго ждать</t>
  </si>
  <si>
    <t xml:space="preserve">купил в другом месте</t>
  </si>
  <si>
    <t xml:space="preserve">мы отказали</t>
  </si>
  <si>
    <t xml:space="preserve">другое</t>
  </si>
  <si>
    <t xml:space="preserve">Чаще всего</t>
  </si>
  <si>
    <t xml:space="preserve">Прогноз на месяц (до налога): ТО, ГРМ и тормоз-киты</t>
  </si>
  <si>
    <t xml:space="preserve">ТО-кит</t>
  </si>
  <si>
    <t xml:space="preserve">ГРМ-кит</t>
  </si>
  <si>
    <t xml:space="preserve">Тормоз-кит</t>
  </si>
  <si>
    <t xml:space="preserve">Пояснение</t>
  </si>
  <si>
    <t xml:space="preserve">Средний чек кита, ₽</t>
  </si>
  <si>
    <t xml:space="preserve">Среднее по собранным китам, уже с повышением цен: ТО-кит: Kia Picanto 1.0 / 1.2 (4 390 ₽), VW Jetta (5 090 ₽); ГРМ-кит: Geely Coolray 1.5T (10 490 ₽); Тормоз-кит: Kia Rio 2017–2021 (5 290 ₽), Hyundai Solaris 2017–2022 (5 290 ₽). Замените, когда соберёте больше китов.</t>
  </si>
  <si>
    <t xml:space="preserve">Средняя стоимость деталей, ₽</t>
  </si>
  <si>
    <t xml:space="preserve">Среднее по деталям тех же китов (без упаковки).</t>
  </si>
  <si>
    <t xml:space="preserve">Доля оплат через Авито Доставку</t>
  </si>
  <si>
    <t xml:space="preserve">Общая для всех китов. Остальные — прямым переводом. Ваша оценка; уточните по факту.</t>
  </si>
  <si>
    <t xml:space="preserve">Справка: средний чек по листу «Киты»</t>
  </si>
  <si>
    <t xml:space="preserve">Справка: средние детали по листу «Киты»</t>
  </si>
  <si>
    <t xml:space="preserve">Постоянные расходы в месяц, ₽</t>
  </si>
  <si>
    <t xml:space="preserve">Сумма постоянных расходов с листа «Параметры». Платятся один раз в месяц на весь магазин.</t>
  </si>
  <si>
    <t xml:space="preserve">Прибыль с 1 заказа до постоянных расходов, ₽</t>
  </si>
  <si>
    <t xml:space="preserve">Точка безубыточности, заказов в месяц</t>
  </si>
  <si>
    <t xml:space="preserve">Сколько китов одного вида нужно продать, чтобы покрыть постоянные расходы.</t>
  </si>
  <si>
    <t xml:space="preserve">Сценарий</t>
  </si>
  <si>
    <t xml:space="preserve">ТО-китов</t>
  </si>
  <si>
    <t xml:space="preserve">ГРМ-китов</t>
  </si>
  <si>
    <t xml:space="preserve">Тормоз-китов</t>
  </si>
  <si>
    <t xml:space="preserve">Выручка, ₽</t>
  </si>
  <si>
    <t xml:space="preserve">Детали и упаковка, ₽</t>
  </si>
  <si>
    <t xml:space="preserve">СДЭК за ваш счёт, ₽</t>
  </si>
  <si>
    <t xml:space="preserve">Постоянные, ₽</t>
  </si>
  <si>
    <t xml:space="preserve">Прибыль до налога, ₽</t>
  </si>
  <si>
    <t xml:space="preserve">Прибыль на 1 заказ, ₽</t>
  </si>
  <si>
    <t xml:space="preserve">Только ТО</t>
  </si>
  <si>
    <t xml:space="preserve">Только ГРМ</t>
  </si>
  <si>
    <t xml:space="preserve">Только тормоза</t>
  </si>
  <si>
    <t xml:space="preserve">Старт</t>
  </si>
  <si>
    <t xml:space="preserve">Рабочий месяц</t>
  </si>
  <si>
    <t xml:space="preserve">Хороший месяц</t>
  </si>
  <si>
    <t xml:space="preserve">Цель</t>
  </si>
  <si>
    <t xml:space="preserve">Налог не учтён. Число китов в колонках B–D можно менять. Подписка Авито уже входит в постоянные расходы.</t>
  </si>
  <si>
    <t xml:space="preserve">Параметр</t>
  </si>
  <si>
    <t xml:space="preserve">Значение</t>
  </si>
  <si>
    <t xml:space="preserve">Пояснение / источник</t>
  </si>
  <si>
    <t xml:space="preserve">Наценка к закупке</t>
  </si>
  <si>
    <t xml:space="preserve">Цена кита = (детали + упаковка) × (1 + наценка), вверх до шага округления, минус «вычесть». Ваше решение.</t>
  </si>
  <si>
    <t xml:space="preserve">Упаковка на 1 кит, ₽</t>
  </si>
  <si>
    <t xml:space="preserve">Коробка, наклейка, печать карты ремонта — оценка; уточните по факту.</t>
  </si>
  <si>
    <t xml:space="preserve">Шаг округления цены, ₽</t>
  </si>
  <si>
    <t xml:space="preserve">Цена округляется вверх до этого шага.</t>
  </si>
  <si>
    <t xml:space="preserve">Вычесть из округлённой цены, ₽</t>
  </si>
  <si>
    <t xml:space="preserve">Чтобы цена заканчивалась на …90 (4 700 → 4 690).</t>
  </si>
  <si>
    <t xml:space="preserve">Повышение цен ко всем китам</t>
  </si>
  <si>
    <t xml:space="preserve">Ваше решение: +5% сверху ко всем китам — и к цене по наценке, и к цене по рынку (колонка Y на листе «Киты»). Затем снова округление до …90. Поставьте 0%, чтобы убрать.</t>
  </si>
  <si>
    <t xml:space="preserve">Комиссия Авито Доставки</t>
  </si>
  <si>
    <t xml:space="preserve">Только для заказов через Авито Доставку. ≈6,5% по данным селлерских сервисов (SelSup, 2026) — сверьте в кабинете Авито.</t>
  </si>
  <si>
    <t xml:space="preserve">Показы объявления на 1 заказ, ₽</t>
  </si>
  <si>
    <t xml:space="preserve">Оценка: ≈150 показов × 1,2 ₽. Клиент пришёл с Авито при любой оплате, поэтому вычитается всегда. После запуска: расход на показы за месяц ÷ число заказов.</t>
  </si>
  <si>
    <t xml:space="preserve">Резерв на товар (возвраты, брак, довоз), % от деталей</t>
  </si>
  <si>
    <t xml:space="preserve">Ваше решение: 5% от стоимости деталей. Через 2–3 месяца сверьте с фактом и поправьте.</t>
  </si>
  <si>
    <t xml:space="preserve">Резерв включать в цену? (1 — да, 0 — нет)</t>
  </si>
  <si>
    <t xml:space="preserve">0 — резерв вычитается из прибыли, цена не меняется. 1 — резерв добавляется к закупке, и цена кита растёт.</t>
  </si>
  <si>
    <t xml:space="preserve">Комиссия банка при оплате переводом</t>
  </si>
  <si>
    <t xml:space="preserve">Для прямых переводов. Оплата по QR/СБП для бизнеса обычно 0,4–0,7%; обычный перевод на счёт ИП часто бесплатный — уточните у банка.</t>
  </si>
  <si>
    <t xml:space="preserve">СДЭК за ваш счёт при оплате переводом, ₽</t>
  </si>
  <si>
    <t xml:space="preserve">0, если доставку оплачивает покупатель. Если отправляете бесплатно — впишите среднюю стоимость отправки.</t>
  </si>
  <si>
    <t xml:space="preserve">Взносы ИП, ₽ в месяц</t>
  </si>
  <si>
    <t xml:space="preserve">57 390 ₽ за 2026 год ÷ 12 (фиксированные взносы ИП).</t>
  </si>
  <si>
    <t xml:space="preserve">Онлайн-касса, ₽ в месяц</t>
  </si>
  <si>
    <t xml:space="preserve">При оплате переводом покупателю по закону нужен чек (54-ФЗ). Оценка облачной кассы — уточните у своего банка.</t>
  </si>
  <si>
    <t xml:space="preserve">Подписка Авито (тариф магазина), ₽ в месяц</t>
  </si>
  <si>
    <t xml:space="preserve">Ваше решение: тариф за 6 000 ₽ в месяц. Если в тариф входит бюджет на продвижение, уменьшите «Показы» выше.</t>
  </si>
  <si>
    <t xml:space="preserve">Обслуживание счёта, ₽ в месяц</t>
  </si>
  <si>
    <t xml:space="preserve">0 на бесплатном тарифе.</t>
  </si>
  <si>
    <t xml:space="preserve">Прочее (связь, печать, расходники), ₽ в месяц</t>
  </si>
  <si>
    <t xml:space="preserve">Оценка.</t>
  </si>
  <si>
    <t xml:space="preserve">План заказов в месяц</t>
  </si>
  <si>
    <t xml:space="preserve">На сколько заказов делятся постоянные расходы. Больше заказов — меньше расходов на один кит.</t>
  </si>
  <si>
    <t xml:space="preserve">Постоянные расходы на 1 кит, ₽</t>
  </si>
  <si>
    <t xml:space="preserve">Считается сам: сумма постоянных расходов в месяц ÷ план заказов.</t>
  </si>
  <si>
    <t xml:space="preserve">Налог в расчёт не входит: прибыль на листе «Киты» — до налога.</t>
  </si>
  <si>
    <t xml:space="preserve">Позиция</t>
  </si>
  <si>
    <t xml:space="preserve">Кол-во</t>
  </si>
  <si>
    <t xml:space="preserve">Бренд</t>
  </si>
  <si>
    <t xml:space="preserve">Артикул</t>
  </si>
  <si>
    <t xml:space="preserve">Фаворит</t>
  </si>
  <si>
    <t xml:space="preserve">Микадо</t>
  </si>
  <si>
    <t xml:space="preserve">Профит Лига</t>
  </si>
  <si>
    <t xml:space="preserve">Росско</t>
  </si>
  <si>
    <t xml:space="preserve">Автосоюз</t>
  </si>
  <si>
    <t xml:space="preserve">Автоспутник</t>
  </si>
  <si>
    <t xml:space="preserve">Автоформула</t>
  </si>
  <si>
    <t xml:space="preserve">Армтек</t>
  </si>
  <si>
    <t xml:space="preserve">Автотрейд</t>
  </si>
  <si>
    <t xml:space="preserve">Лучшая цена, ₽</t>
  </si>
  <si>
    <t xml:space="preserve">У кого</t>
  </si>
  <si>
    <t xml:space="preserve">Фильтр масляный</t>
  </si>
  <si>
    <t xml:space="preserve">Бренд А</t>
  </si>
  <si>
    <t xml:space="preserve">ABC-123</t>
  </si>
  <si>
    <t xml:space="preserve">Цены — у тех поставщиков, где позиция есть; пустые ячейки не учитываются</t>
  </si>
  <si>
    <t xml:space="preserve">Масло моторное 4 л</t>
  </si>
  <si>
    <t xml:space="preserve">Вязкость и допуск — по мануалу автомобиля</t>
  </si>
  <si>
    <t xml:space="preserve">Фильтр воздушный</t>
  </si>
  <si>
    <t xml:space="preserve">Фильтр салонный</t>
  </si>
  <si>
    <t xml:space="preserve">Шайба (прокладка) сливной пробки</t>
  </si>
  <si>
    <t xml:space="preserve">Масло моторное 1 л (если объём &gt; 4 л)</t>
  </si>
  <si>
    <t xml:space="preserve">Поставьте 1, если объём заливки с фильтром больше 4 л (проверьте по VIN)</t>
  </si>
  <si>
    <t xml:space="preserve">Hyundai/Kia</t>
  </si>
  <si>
    <t xml:space="preserve">Ваша закупка: 2 051,00 ₽ — впишите в колонку поставщика, у которого брали. Проверьте допуск: для Picanto рекомендуют API SM / ILSAC GF-4 и выше</t>
  </si>
  <si>
    <t xml:space="preserve">AMD</t>
  </si>
  <si>
    <t xml:space="preserve">Ваша закупка: 154,70 ₽ — впишите в колонку поставщика, у которого брали</t>
  </si>
  <si>
    <t xml:space="preserve">Ваша закупка: 533,00 ₽ — впишите в колонку поставщика, у которого брали</t>
  </si>
  <si>
    <t xml:space="preserve">BIG FILTER</t>
  </si>
  <si>
    <t xml:space="preserve">Ваша закупка: 387,00 ₽ — впишите в колонку поставщика, у которого брали</t>
  </si>
  <si>
    <t xml:space="preserve">TEBOIL</t>
  </si>
  <si>
    <t xml:space="preserve">Ваша закупка: 2 668,39 ₽ — впишите в колонку поставщика, у которого брали</t>
  </si>
  <si>
    <t xml:space="preserve">Ваша закупка: 308,10 ₽ — впишите в колонку поставщика, у которого брали</t>
  </si>
  <si>
    <t xml:space="preserve">BRAVE</t>
  </si>
  <si>
    <t xml:space="preserve">Ваша закупка: 311,00 ₽ — впишите в колонку поставщика, у которого брали</t>
  </si>
  <si>
    <t xml:space="preserve">Ваша закупка: 317,00 ₽ — впишите в колонку поставщика, у которого брали</t>
  </si>
  <si>
    <t xml:space="preserve">Комплект цепи ГРМ (цепь, натяжитель, успокоители)</t>
  </si>
  <si>
    <t xml:space="preserve">Если готового комплекта нет — добавьте строки и купите позиции отдельно</t>
  </si>
  <si>
    <t xml:space="preserve">Сальник коленвала передний</t>
  </si>
  <si>
    <t xml:space="preserve">Герметик</t>
  </si>
  <si>
    <t xml:space="preserve">Помпа водяная (если потребуется)</t>
  </si>
  <si>
    <t xml:space="preserve">Поставьте 1, если помпу меняют вместе с ГРМ</t>
  </si>
  <si>
    <t xml:space="preserve">Масляный насос (если потребуется)</t>
  </si>
  <si>
    <t xml:space="preserve">Поставьте 1, если требуется по каталогу / по состоянию</t>
  </si>
  <si>
    <t xml:space="preserve">Комплект ремня ГРМ (ремень, натяжной ролик)</t>
  </si>
  <si>
    <t xml:space="preserve">Комплект ГРМ Gates K0120529: ремень и 2 ролика</t>
  </si>
  <si>
    <t xml:space="preserve">Gates</t>
  </si>
  <si>
    <t xml:space="preserve">K0120529</t>
  </si>
  <si>
    <t xml:space="preserve">Ваша закупка: 6 066,00 ₽ — впишите в колонку поставщика, у которого брали</t>
  </si>
  <si>
    <t xml:space="preserve">Ремень привода помпы</t>
  </si>
  <si>
    <t xml:space="preserve">Ваша закупка: 990,23 ₽ — впишите в колонку поставщика, у которого брали</t>
  </si>
  <si>
    <t xml:space="preserve">Диски тормозные передние AMD (AMDBD262) — 2 шт</t>
  </si>
  <si>
    <t xml:space="preserve">AMDBD262</t>
  </si>
  <si>
    <t xml:space="preserve">Ваша закупка: 2 711,80 ₽ — впишите в колонку поставщика, у которого брали. Цена за пару: кол-во 1</t>
  </si>
  <si>
    <t xml:space="preserve">Колодки тормозные передние AMD (AMDBF453)</t>
  </si>
  <si>
    <t xml:space="preserve">AMDBF453</t>
  </si>
  <si>
    <t xml:space="preserve">Ваша закупка: 815,10 ₽ — впишите в колонку поставщика, у которого брали</t>
  </si>
  <si>
    <t xml:space="preserve">Смазка для направляющих суппорта</t>
  </si>
  <si>
    <t xml:space="preserve">Ваша закупка: 97,70 ₽ — впишите в колонку поставщика, у которого брали</t>
  </si>
  <si>
    <t xml:space="preserve">Поставщик</t>
  </si>
  <si>
    <t xml:space="preserve">Склад / пункт выдачи в Сочи или Адлере</t>
  </si>
  <si>
    <t xml:space="preserve">Отсечка заказа (до …)</t>
  </si>
  <si>
    <t xml:space="preserve">Срок до вас, дней</t>
  </si>
  <si>
    <t xml:space="preserve">Доставка до вас</t>
  </si>
  <si>
    <t xml:space="preserve">Возврат «не подошло» (срок, удержание)</t>
  </si>
  <si>
    <t xml:space="preserve">Отсрочка платежа</t>
  </si>
  <si>
    <t xml:space="preserve">Прайс / API</t>
  </si>
  <si>
    <t xml:space="preserve">Менеджер (имя, телефон)</t>
  </si>
  <si>
    <t xml:space="preserve">подключён</t>
  </si>
  <si>
    <t xml:space="preserve">да, Адлер</t>
  </si>
  <si>
    <t xml:space="preserve">12:00</t>
  </si>
  <si>
    <t xml:space="preserve">бесплатно от 3 000 ₽</t>
  </si>
  <si>
    <t xml:space="preserve">14 дней, без удержания</t>
  </si>
  <si>
    <t xml:space="preserve">после 3 мес., 14 дней</t>
  </si>
  <si>
    <t xml:space="preserve">API</t>
  </si>
  <si>
    <t xml:space="preserve">Иван, +7 …</t>
  </si>
  <si>
    <t xml:space="preserve">в процессе</t>
  </si>
  <si>
    <t xml:space="preserve">Годы</t>
  </si>
  <si>
    <t xml:space="preserve">Что берём в ГРМ-кит</t>
  </si>
  <si>
    <t xml:space="preserve">Масло (объём)</t>
  </si>
  <si>
    <t xml:space="preserve">Источник / уверенность</t>
  </si>
  <si>
    <t xml:space="preserve">Hyundai Solaris / Kia Rio</t>
  </si>
  <si>
    <t xml:space="preserve">2010–2017</t>
  </si>
  <si>
    <t xml:space="preserve">G4FA 1.4 / G4FC 1.6 (Gamma)</t>
  </si>
  <si>
    <t xml:space="preserve">Комплект цепи (цепь, натяжитель, успокоители), сальник коленвала, герметик; помпа и маслонасос — если требуется</t>
  </si>
  <si>
    <t xml:space="preserve">≈3,3 л — хватает канистры 4 л; проверьте по VIN</t>
  </si>
  <si>
    <t xml:space="preserve">Данные каталогов производителя. Проверяйте по VIN в каталоге поставщика.</t>
  </si>
  <si>
    <t xml:space="preserve">2017–2022</t>
  </si>
  <si>
    <t xml:space="preserve">G4LC 1.4 (Kappa) / G4FG 1.6 (Gamma II)</t>
  </si>
  <si>
    <t xml:space="preserve">до 4 л — проверьте по VIN</t>
  </si>
  <si>
    <t xml:space="preserve">Данные каталогов производителя. Проверяйте по VIN.</t>
  </si>
  <si>
    <t xml:space="preserve">VW Polo седан</t>
  </si>
  <si>
    <t xml:space="preserve">2010–2015</t>
  </si>
  <si>
    <t xml:space="preserve">CFNA / CFNB 1.6</t>
  </si>
  <si>
    <t xml:space="preserve">≈3,6 л — проверьте по VIN</t>
  </si>
  <si>
    <t xml:space="preserve">VW Polo седан / лифтбек</t>
  </si>
  <si>
    <t xml:space="preserve">2015+</t>
  </si>
  <si>
    <t xml:space="preserve">CWVA / CWVB 1.6</t>
  </si>
  <si>
    <t xml:space="preserve">Комплект ремня (ремень, натяжной ролик); помпа — по желанию</t>
  </si>
  <si>
    <t xml:space="preserve">Haval Jolion</t>
  </si>
  <si>
    <t xml:space="preserve">2021+</t>
  </si>
  <si>
    <t xml:space="preserve">GW4B15A 1.5T</t>
  </si>
  <si>
    <t xml:space="preserve">уточните по VIN (может быть &gt; 4 л)</t>
  </si>
  <si>
    <t xml:space="preserve">Цепь: drive2.ru/l/726006979138433863, bus-tech.ru (замена цепи Jolion 1.5T)</t>
  </si>
  <si>
    <t xml:space="preserve">Haval F7 / F7x</t>
  </si>
  <si>
    <t xml:space="preserve">2019+</t>
  </si>
  <si>
    <t xml:space="preserve">GW4B15 1.5T / GW4C20 2.0T</t>
  </si>
  <si>
    <t xml:space="preserve">Цепь; у 1.5T внимания требует к 100–120 тыс. км, у 2.0T часто 150+ тыс. км: bus-tech.ru/haval1/remont-f7/zamena-tsepi-grm-f7-f7x</t>
  </si>
  <si>
    <t xml:space="preserve">Chery Tiggo 7 Pro / 4 Pro</t>
  </si>
  <si>
    <t xml:space="preserve">2020+</t>
  </si>
  <si>
    <t xml:space="preserve">SQRE4T15C 1.5T</t>
  </si>
  <si>
    <t xml:space="preserve">Цепь; ресурс часто 200+ тыс. км, поэтому ГРМ-кит — «позже». Комплекты Gates под SQRE4T15C продаются на Яндекс Маркете</t>
  </si>
  <si>
    <t xml:space="preserve">Geely Coolray</t>
  </si>
  <si>
    <t xml:space="preserve">JLH-3G15TD 1.5T</t>
  </si>
  <si>
    <t xml:space="preserve">Ремень ГРМ, натяжной ролик, ремень привода помпы (по регламенту меняют вместе); помпа — если требуется</t>
  </si>
  <si>
    <t xml:space="preserve">Ремень; регламент 100–120 тыс. км или 5–6 лет, на практике ≈80 тыс.: motorhunter.ru/engine/geely/jlh-3g15td/, avtogermes.ru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</si>
</sst>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₽&quot;;\-#,##0&quot; ₽&quot;;\-"/>
    <numFmt numFmtId="166" formatCode="General"/>
    <numFmt numFmtId="167" formatCode="0.0%"/>
    <numFmt numFmtId="168" formatCode="dd\.mm"/>
    <numFmt numFmtId="169" formatCode="0%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8C929B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CE4D6"/>
      </patternFill>
    </fill>
    <fill>
      <patternFill patternType="solid">
        <fgColor rgb="FF14161A"/>
        <bgColor rgb="FF0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D6"/>
        </patternFill>
      </fill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8C929B"/>
      <rgbColor rgb="FF003366"/>
      <rgbColor rgb="FF339966"/>
      <rgbColor rgb="FF141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5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5" min="24" style="0" width="14"/>
  </cols>
  <sheetData>
    <row r="1" customFormat="false" ht="43.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5" t="s">
        <v>39</v>
      </c>
    </row>
    <row r="2" customFormat="false" ht="15" hidden="false" customHeight="false" outlineLevel="0" collapsed="false">
      <c r="A2" s="6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8" t="s">
        <v>46</v>
      </c>
      <c r="H2" s="7" t="s">
        <v>47</v>
      </c>
      <c r="I2" s="9" t="str">
        <f aca="false">IF(SUMIFS(Состав!$R:$R,Состав!$A:$A,A2)=0,"",SUMIFS(Состав!$R:$R,Состав!$A:$A,A2))</f>
        <v/>
      </c>
      <c r="J2" s="10" t="n">
        <f aca="false">COUNTIFS(Состав!$A:$A,A2,Состав!$P:$P,"",Состав!$D:$D,"&gt;0")</f>
        <v>5</v>
      </c>
      <c r="K2" s="9" t="str">
        <f aca="false">IF(I2="","",Параметры!$B$3)</f>
        <v/>
      </c>
      <c r="L2" s="9" t="str">
        <f aca="false">IF(I2="","",I2+K2)</f>
        <v/>
      </c>
      <c r="M2" s="11" t="str">
        <f aca="false">IF(I2="","",CEILING((IF(Y2&lt;&gt;"",Y2,CEILING((I2*(1+Параметры!$B$9*Параметры!$B$10)+K2)*(1+Параметры!$B$2),Параметры!$B$4)-Параметры!$B$5))*(1+Параметры!$B$6),Параметры!$B$4)-Параметры!$B$5)</f>
        <v/>
      </c>
      <c r="N2" s="12"/>
      <c r="O2" s="7" t="str">
        <f aca="false">IF(OR(M2="",N2=""),"",IF(M2&lt;=N2,"не дороже рынка","дороже рынка"))</f>
        <v/>
      </c>
      <c r="P2" s="9" t="str">
        <f aca="false">IF(M2="","",M2*Параметры!$B$7)</f>
        <v/>
      </c>
      <c r="Q2" s="9" t="str">
        <f aca="false">IF(M2="","",M2*Параметры!$B$11)</f>
        <v/>
      </c>
      <c r="R2" s="9" t="str">
        <f aca="false">IF(M2="","",Параметры!$B$8)</f>
        <v/>
      </c>
      <c r="S2" s="9" t="str">
        <f aca="false">IF(I2="","",I2*Параметры!$B$9)</f>
        <v/>
      </c>
      <c r="T2" s="9" t="str">
        <f aca="false">IF(M2="","",Параметры!$B$19)</f>
        <v/>
      </c>
      <c r="U2" s="11" t="str">
        <f aca="false">IF(M2="","",M2-L2-P2-R2-S2-T2)</f>
        <v/>
      </c>
      <c r="V2" s="11" t="str">
        <f aca="false">IF(M2="","",M2-L2-Q2-R2-S2-T2-Параметры!$B$12)</f>
        <v/>
      </c>
      <c r="W2" s="13" t="str">
        <f aca="false">IF(U2="","",U2/M2)</f>
        <v/>
      </c>
      <c r="X2" s="14" t="s">
        <v>48</v>
      </c>
      <c r="Y2" s="12"/>
    </row>
    <row r="3" customFormat="false" ht="15" hidden="false" customHeight="false" outlineLevel="0" collapsed="false">
      <c r="A3" s="6" t="s">
        <v>49</v>
      </c>
      <c r="B3" s="7" t="s">
        <v>41</v>
      </c>
      <c r="C3" s="7" t="s">
        <v>50</v>
      </c>
      <c r="D3" s="7" t="s">
        <v>51</v>
      </c>
      <c r="E3" s="7" t="s">
        <v>44</v>
      </c>
      <c r="F3" s="7" t="s">
        <v>45</v>
      </c>
      <c r="G3" s="8" t="s">
        <v>52</v>
      </c>
      <c r="H3" s="7" t="s">
        <v>53</v>
      </c>
      <c r="I3" s="9" t="str">
        <f aca="false">IF(SUMIFS(Состав!$R:$R,Состав!$A:$A,A3)=0,"",SUMIFS(Состав!$R:$R,Состав!$A:$A,A3))</f>
        <v/>
      </c>
      <c r="J3" s="10" t="n">
        <f aca="false">COUNTIFS(Состав!$A:$A,A3,Состав!$P:$P,"",Состав!$D:$D,"&gt;0")</f>
        <v>5</v>
      </c>
      <c r="K3" s="9" t="str">
        <f aca="false">IF(I3="","",Параметры!$B$3)</f>
        <v/>
      </c>
      <c r="L3" s="9" t="str">
        <f aca="false">IF(I3="","",I3+K3)</f>
        <v/>
      </c>
      <c r="M3" s="11" t="str">
        <f aca="false">IF(I3="","",CEILING((IF(Y3&lt;&gt;"",Y3,CEILING((I3*(1+Параметры!$B$9*Параметры!$B$10)+K3)*(1+Параметры!$B$2),Параметры!$B$4)-Параметры!$B$5))*(1+Параметры!$B$6),Параметры!$B$4)-Параметры!$B$5)</f>
        <v/>
      </c>
      <c r="N3" s="12"/>
      <c r="O3" s="7" t="str">
        <f aca="false">IF(OR(M3="",N3=""),"",IF(M3&lt;=N3,"не дороже рынка","дороже рынка"))</f>
        <v/>
      </c>
      <c r="P3" s="9" t="str">
        <f aca="false">IF(M3="","",M3*Параметры!$B$7)</f>
        <v/>
      </c>
      <c r="Q3" s="9" t="str">
        <f aca="false">IF(M3="","",M3*Параметры!$B$11)</f>
        <v/>
      </c>
      <c r="R3" s="9" t="str">
        <f aca="false">IF(M3="","",Параметры!$B$8)</f>
        <v/>
      </c>
      <c r="S3" s="9" t="str">
        <f aca="false">IF(I3="","",I3*Параметры!$B$9)</f>
        <v/>
      </c>
      <c r="T3" s="9" t="str">
        <f aca="false">IF(M3="","",Параметры!$B$19)</f>
        <v/>
      </c>
      <c r="U3" s="11" t="str">
        <f aca="false">IF(M3="","",M3-L3-P3-R3-S3-T3)</f>
        <v/>
      </c>
      <c r="V3" s="11" t="str">
        <f aca="false">IF(M3="","",M3-L3-Q3-R3-S3-T3-Параметры!$B$12)</f>
        <v/>
      </c>
      <c r="W3" s="13" t="str">
        <f aca="false">IF(U3="","",U3/M3)</f>
        <v/>
      </c>
      <c r="X3" s="14" t="s">
        <v>48</v>
      </c>
      <c r="Y3" s="12"/>
    </row>
    <row r="4" customFormat="false" ht="15" hidden="false" customHeight="false" outlineLevel="0" collapsed="false">
      <c r="A4" s="6" t="s">
        <v>54</v>
      </c>
      <c r="B4" s="7" t="s">
        <v>41</v>
      </c>
      <c r="C4" s="7" t="s">
        <v>55</v>
      </c>
      <c r="D4" s="7" t="s">
        <v>43</v>
      </c>
      <c r="E4" s="7" t="s">
        <v>44</v>
      </c>
      <c r="F4" s="7" t="s">
        <v>45</v>
      </c>
      <c r="G4" s="8" t="s">
        <v>56</v>
      </c>
      <c r="H4" s="7" t="s">
        <v>57</v>
      </c>
      <c r="I4" s="9" t="str">
        <f aca="false">IF(SUMIFS(Состав!$R:$R,Состав!$A:$A,A4)=0,"",SUMIFS(Состав!$R:$R,Состав!$A:$A,A4))</f>
        <v/>
      </c>
      <c r="J4" s="10" t="n">
        <f aca="false">COUNTIFS(Состав!$A:$A,A4,Состав!$P:$P,"",Состав!$D:$D,"&gt;0")</f>
        <v>5</v>
      </c>
      <c r="K4" s="9" t="str">
        <f aca="false">IF(I4="","",Параметры!$B$3)</f>
        <v/>
      </c>
      <c r="L4" s="9" t="str">
        <f aca="false">IF(I4="","",I4+K4)</f>
        <v/>
      </c>
      <c r="M4" s="11" t="str">
        <f aca="false">IF(I4="","",CEILING((IF(Y4&lt;&gt;"",Y4,CEILING((I4*(1+Параметры!$B$9*Параметры!$B$10)+K4)*(1+Параметры!$B$2),Параметры!$B$4)-Параметры!$B$5))*(1+Параметры!$B$6),Параметры!$B$4)-Параметры!$B$5)</f>
        <v/>
      </c>
      <c r="N4" s="12"/>
      <c r="O4" s="7" t="str">
        <f aca="false">IF(OR(M4="",N4=""),"",IF(M4&lt;=N4,"не дороже рынка","дороже рынка"))</f>
        <v/>
      </c>
      <c r="P4" s="9" t="str">
        <f aca="false">IF(M4="","",M4*Параметры!$B$7)</f>
        <v/>
      </c>
      <c r="Q4" s="9" t="str">
        <f aca="false">IF(M4="","",M4*Параметры!$B$11)</f>
        <v/>
      </c>
      <c r="R4" s="9" t="str">
        <f aca="false">IF(M4="","",Параметры!$B$8)</f>
        <v/>
      </c>
      <c r="S4" s="9" t="str">
        <f aca="false">IF(I4="","",I4*Параметры!$B$9)</f>
        <v/>
      </c>
      <c r="T4" s="9" t="str">
        <f aca="false">IF(M4="","",Параметры!$B$19)</f>
        <v/>
      </c>
      <c r="U4" s="11" t="str">
        <f aca="false">IF(M4="","",M4-L4-P4-R4-S4-T4)</f>
        <v/>
      </c>
      <c r="V4" s="11" t="str">
        <f aca="false">IF(M4="","",M4-L4-Q4-R4-S4-T4-Параметры!$B$12)</f>
        <v/>
      </c>
      <c r="W4" s="13" t="str">
        <f aca="false">IF(U4="","",U4/M4)</f>
        <v/>
      </c>
      <c r="X4" s="14" t="s">
        <v>48</v>
      </c>
      <c r="Y4" s="12"/>
    </row>
    <row r="5" customFormat="false" ht="15" hidden="false" customHeight="false" outlineLevel="0" collapsed="false">
      <c r="A5" s="6" t="s">
        <v>58</v>
      </c>
      <c r="B5" s="7" t="s">
        <v>41</v>
      </c>
      <c r="C5" s="7" t="s">
        <v>59</v>
      </c>
      <c r="D5" s="7" t="s">
        <v>51</v>
      </c>
      <c r="E5" s="7" t="s">
        <v>44</v>
      </c>
      <c r="F5" s="7" t="s">
        <v>45</v>
      </c>
      <c r="G5" s="8" t="s">
        <v>60</v>
      </c>
      <c r="H5" s="7" t="s">
        <v>61</v>
      </c>
      <c r="I5" s="9" t="str">
        <f aca="false">IF(SUMIFS(Состав!$R:$R,Состав!$A:$A,A5)=0,"",SUMIFS(Состав!$R:$R,Состав!$A:$A,A5))</f>
        <v/>
      </c>
      <c r="J5" s="10" t="n">
        <f aca="false">COUNTIFS(Состав!$A:$A,A5,Состав!$P:$P,"",Состав!$D:$D,"&gt;0")</f>
        <v>5</v>
      </c>
      <c r="K5" s="9" t="str">
        <f aca="false">IF(I5="","",Параметры!$B$3)</f>
        <v/>
      </c>
      <c r="L5" s="9" t="str">
        <f aca="false">IF(I5="","",I5+K5)</f>
        <v/>
      </c>
      <c r="M5" s="11" t="str">
        <f aca="false">IF(I5="","",CEILING((IF(Y5&lt;&gt;"",Y5,CEILING((I5*(1+Параметры!$B$9*Параметры!$B$10)+K5)*(1+Параметры!$B$2),Параметры!$B$4)-Параметры!$B$5))*(1+Параметры!$B$6),Параметры!$B$4)-Параметры!$B$5)</f>
        <v/>
      </c>
      <c r="N5" s="12"/>
      <c r="O5" s="7" t="str">
        <f aca="false">IF(OR(M5="",N5=""),"",IF(M5&lt;=N5,"не дороже рынка","дороже рынка"))</f>
        <v/>
      </c>
      <c r="P5" s="9" t="str">
        <f aca="false">IF(M5="","",M5*Параметры!$B$7)</f>
        <v/>
      </c>
      <c r="Q5" s="9" t="str">
        <f aca="false">IF(M5="","",M5*Параметры!$B$11)</f>
        <v/>
      </c>
      <c r="R5" s="9" t="str">
        <f aca="false">IF(M5="","",Параметры!$B$8)</f>
        <v/>
      </c>
      <c r="S5" s="9" t="str">
        <f aca="false">IF(I5="","",I5*Параметры!$B$9)</f>
        <v/>
      </c>
      <c r="T5" s="9" t="str">
        <f aca="false">IF(M5="","",Параметры!$B$19)</f>
        <v/>
      </c>
      <c r="U5" s="11" t="str">
        <f aca="false">IF(M5="","",M5-L5-P5-R5-S5-T5)</f>
        <v/>
      </c>
      <c r="V5" s="11" t="str">
        <f aca="false">IF(M5="","",M5-L5-Q5-R5-S5-T5-Параметры!$B$12)</f>
        <v/>
      </c>
      <c r="W5" s="13" t="str">
        <f aca="false">IF(U5="","",U5/M5)</f>
        <v/>
      </c>
      <c r="X5" s="14" t="s">
        <v>48</v>
      </c>
      <c r="Y5" s="12"/>
    </row>
    <row r="6" customFormat="false" ht="15" hidden="false" customHeight="false" outlineLevel="0" collapsed="false">
      <c r="A6" s="6" t="s">
        <v>62</v>
      </c>
      <c r="B6" s="7" t="s">
        <v>41</v>
      </c>
      <c r="C6" s="7" t="s">
        <v>63</v>
      </c>
      <c r="D6" s="7" t="s">
        <v>64</v>
      </c>
      <c r="E6" s="7" t="s">
        <v>44</v>
      </c>
      <c r="F6" s="7" t="s">
        <v>45</v>
      </c>
      <c r="G6" s="8" t="s">
        <v>65</v>
      </c>
      <c r="H6" s="7" t="s">
        <v>66</v>
      </c>
      <c r="I6" s="9" t="str">
        <f aca="false">IF(SUMIFS(Состав!$R:$R,Состав!$A:$A,A6)=0,"",SUMIFS(Состав!$R:$R,Состав!$A:$A,A6))</f>
        <v/>
      </c>
      <c r="J6" s="10" t="n">
        <f aca="false">COUNTIFS(Состав!$A:$A,A6,Состав!$P:$P,"",Состав!$D:$D,"&gt;0")</f>
        <v>5</v>
      </c>
      <c r="K6" s="9" t="str">
        <f aca="false">IF(I6="","",Параметры!$B$3)</f>
        <v/>
      </c>
      <c r="L6" s="9" t="str">
        <f aca="false">IF(I6="","",I6+K6)</f>
        <v/>
      </c>
      <c r="M6" s="11" t="str">
        <f aca="false">IF(I6="","",CEILING((IF(Y6&lt;&gt;"",Y6,CEILING((I6*(1+Параметры!$B$9*Параметры!$B$10)+K6)*(1+Параметры!$B$2),Параметры!$B$4)-Параметры!$B$5))*(1+Параметры!$B$6),Параметры!$B$4)-Параметры!$B$5)</f>
        <v/>
      </c>
      <c r="N6" s="12"/>
      <c r="O6" s="7" t="str">
        <f aca="false">IF(OR(M6="",N6=""),"",IF(M6&lt;=N6,"не дороже рынка","дороже рынка"))</f>
        <v/>
      </c>
      <c r="P6" s="9" t="str">
        <f aca="false">IF(M6="","",M6*Параметры!$B$7)</f>
        <v/>
      </c>
      <c r="Q6" s="9" t="str">
        <f aca="false">IF(M6="","",M6*Параметры!$B$11)</f>
        <v/>
      </c>
      <c r="R6" s="9" t="str">
        <f aca="false">IF(M6="","",Параметры!$B$8)</f>
        <v/>
      </c>
      <c r="S6" s="9" t="str">
        <f aca="false">IF(I6="","",I6*Параметры!$B$9)</f>
        <v/>
      </c>
      <c r="T6" s="9" t="str">
        <f aca="false">IF(M6="","",Параметры!$B$19)</f>
        <v/>
      </c>
      <c r="U6" s="11" t="str">
        <f aca="false">IF(M6="","",M6-L6-P6-R6-S6-T6)</f>
        <v/>
      </c>
      <c r="V6" s="11" t="str">
        <f aca="false">IF(M6="","",M6-L6-Q6-R6-S6-T6-Параметры!$B$12)</f>
        <v/>
      </c>
      <c r="W6" s="13" t="str">
        <f aca="false">IF(U6="","",U6/M6)</f>
        <v/>
      </c>
      <c r="X6" s="14" t="s">
        <v>48</v>
      </c>
      <c r="Y6" s="12"/>
    </row>
    <row r="7" customFormat="false" ht="15" hidden="false" customHeight="false" outlineLevel="0" collapsed="false">
      <c r="A7" s="6" t="s">
        <v>67</v>
      </c>
      <c r="B7" s="7" t="s">
        <v>41</v>
      </c>
      <c r="C7" s="7" t="s">
        <v>68</v>
      </c>
      <c r="D7" s="7" t="s">
        <v>69</v>
      </c>
      <c r="E7" s="7" t="s">
        <v>70</v>
      </c>
      <c r="F7" s="7" t="s">
        <v>45</v>
      </c>
      <c r="G7" s="8" t="s">
        <v>71</v>
      </c>
      <c r="H7" s="7" t="s">
        <v>72</v>
      </c>
      <c r="I7" s="9" t="str">
        <f aca="false">IF(SUMIFS(Состав!$R:$R,Состав!$A:$A,A7)=0,"",SUMIFS(Состав!$R:$R,Состав!$A:$A,A7))</f>
        <v/>
      </c>
      <c r="J7" s="10" t="n">
        <f aca="false">COUNTIFS(Состав!$A:$A,A7,Состав!$P:$P,"",Состав!$D:$D,"&gt;0")</f>
        <v>5</v>
      </c>
      <c r="K7" s="9" t="str">
        <f aca="false">IF(I7="","",Параметры!$B$3)</f>
        <v/>
      </c>
      <c r="L7" s="9" t="str">
        <f aca="false">IF(I7="","",I7+K7)</f>
        <v/>
      </c>
      <c r="M7" s="11" t="str">
        <f aca="false">IF(I7="","",CEILING((IF(Y7&lt;&gt;"",Y7,CEILING((I7*(1+Параметры!$B$9*Параметры!$B$10)+K7)*(1+Параметры!$B$2),Параметры!$B$4)-Параметры!$B$5))*(1+Параметры!$B$6),Параметры!$B$4)-Параметры!$B$5)</f>
        <v/>
      </c>
      <c r="N7" s="12"/>
      <c r="O7" s="7" t="str">
        <f aca="false">IF(OR(M7="",N7=""),"",IF(M7&lt;=N7,"не дороже рынка","дороже рынка"))</f>
        <v/>
      </c>
      <c r="P7" s="9" t="str">
        <f aca="false">IF(M7="","",M7*Параметры!$B$7)</f>
        <v/>
      </c>
      <c r="Q7" s="9" t="str">
        <f aca="false">IF(M7="","",M7*Параметры!$B$11)</f>
        <v/>
      </c>
      <c r="R7" s="9" t="str">
        <f aca="false">IF(M7="","",Параметры!$B$8)</f>
        <v/>
      </c>
      <c r="S7" s="9" t="str">
        <f aca="false">IF(I7="","",I7*Параметры!$B$9)</f>
        <v/>
      </c>
      <c r="T7" s="9" t="str">
        <f aca="false">IF(M7="","",Параметры!$B$19)</f>
        <v/>
      </c>
      <c r="U7" s="11" t="str">
        <f aca="false">IF(M7="","",M7-L7-P7-R7-S7-T7)</f>
        <v/>
      </c>
      <c r="V7" s="11" t="str">
        <f aca="false">IF(M7="","",M7-L7-Q7-R7-S7-T7-Параметры!$B$12)</f>
        <v/>
      </c>
      <c r="W7" s="13" t="str">
        <f aca="false">IF(U7="","",U7/M7)</f>
        <v/>
      </c>
      <c r="X7" s="14" t="s">
        <v>48</v>
      </c>
      <c r="Y7" s="12"/>
    </row>
    <row r="8" customFormat="false" ht="15" hidden="false" customHeight="false" outlineLevel="0" collapsed="false">
      <c r="A8" s="6" t="s">
        <v>73</v>
      </c>
      <c r="B8" s="7" t="s">
        <v>41</v>
      </c>
      <c r="C8" s="7" t="s">
        <v>74</v>
      </c>
      <c r="D8" s="7" t="s">
        <v>75</v>
      </c>
      <c r="E8" s="7" t="s">
        <v>44</v>
      </c>
      <c r="F8" s="7" t="s">
        <v>45</v>
      </c>
      <c r="G8" s="8" t="s">
        <v>76</v>
      </c>
      <c r="H8" s="7" t="s">
        <v>77</v>
      </c>
      <c r="I8" s="9" t="str">
        <f aca="false">IF(SUMIFS(Состав!$R:$R,Состав!$A:$A,A8)=0,"",SUMIFS(Состав!$R:$R,Состав!$A:$A,A8))</f>
        <v/>
      </c>
      <c r="J8" s="10" t="n">
        <f aca="false">COUNTIFS(Состав!$A:$A,A8,Состав!$P:$P,"",Состав!$D:$D,"&gt;0")</f>
        <v>5</v>
      </c>
      <c r="K8" s="9" t="str">
        <f aca="false">IF(I8="","",Параметры!$B$3)</f>
        <v/>
      </c>
      <c r="L8" s="9" t="str">
        <f aca="false">IF(I8="","",I8+K8)</f>
        <v/>
      </c>
      <c r="M8" s="11" t="str">
        <f aca="false">IF(I8="","",CEILING((IF(Y8&lt;&gt;"",Y8,CEILING((I8*(1+Параметры!$B$9*Параметры!$B$10)+K8)*(1+Параметры!$B$2),Параметры!$B$4)-Параметры!$B$5))*(1+Параметры!$B$6),Параметры!$B$4)-Параметры!$B$5)</f>
        <v/>
      </c>
      <c r="N8" s="12"/>
      <c r="O8" s="7" t="str">
        <f aca="false">IF(OR(M8="",N8=""),"",IF(M8&lt;=N8,"не дороже рынка","дороже рынка"))</f>
        <v/>
      </c>
      <c r="P8" s="9" t="str">
        <f aca="false">IF(M8="","",M8*Параметры!$B$7)</f>
        <v/>
      </c>
      <c r="Q8" s="9" t="str">
        <f aca="false">IF(M8="","",M8*Параметры!$B$11)</f>
        <v/>
      </c>
      <c r="R8" s="9" t="str">
        <f aca="false">IF(M8="","",Параметры!$B$8)</f>
        <v/>
      </c>
      <c r="S8" s="9" t="str">
        <f aca="false">IF(I8="","",I8*Параметры!$B$9)</f>
        <v/>
      </c>
      <c r="T8" s="9" t="str">
        <f aca="false">IF(M8="","",Параметры!$B$19)</f>
        <v/>
      </c>
      <c r="U8" s="11" t="str">
        <f aca="false">IF(M8="","",M8-L8-P8-R8-S8-T8)</f>
        <v/>
      </c>
      <c r="V8" s="11" t="str">
        <f aca="false">IF(M8="","",M8-L8-Q8-R8-S8-T8-Параметры!$B$12)</f>
        <v/>
      </c>
      <c r="W8" s="13" t="str">
        <f aca="false">IF(U8="","",U8/M8)</f>
        <v/>
      </c>
      <c r="X8" s="14" t="s">
        <v>48</v>
      </c>
      <c r="Y8" s="12"/>
    </row>
    <row r="9" customFormat="false" ht="15" hidden="false" customHeight="false" outlineLevel="0" collapsed="false">
      <c r="A9" s="6" t="s">
        <v>78</v>
      </c>
      <c r="B9" s="7" t="s">
        <v>41</v>
      </c>
      <c r="C9" s="7" t="s">
        <v>79</v>
      </c>
      <c r="D9" s="7" t="s">
        <v>80</v>
      </c>
      <c r="E9" s="7" t="s">
        <v>44</v>
      </c>
      <c r="F9" s="7" t="s">
        <v>45</v>
      </c>
      <c r="G9" s="8" t="s">
        <v>81</v>
      </c>
      <c r="H9" s="7" t="s">
        <v>82</v>
      </c>
      <c r="I9" s="9" t="str">
        <f aca="false">IF(SUMIFS(Состав!$R:$R,Состав!$A:$A,A9)=0,"",SUMIFS(Состав!$R:$R,Состав!$A:$A,A9))</f>
        <v/>
      </c>
      <c r="J9" s="10" t="n">
        <f aca="false">COUNTIFS(Состав!$A:$A,A9,Состав!$P:$P,"",Состав!$D:$D,"&gt;0")</f>
        <v>5</v>
      </c>
      <c r="K9" s="9" t="str">
        <f aca="false">IF(I9="","",Параметры!$B$3)</f>
        <v/>
      </c>
      <c r="L9" s="9" t="str">
        <f aca="false">IF(I9="","",I9+K9)</f>
        <v/>
      </c>
      <c r="M9" s="11" t="str">
        <f aca="false">IF(I9="","",CEILING((IF(Y9&lt;&gt;"",Y9,CEILING((I9*(1+Параметры!$B$9*Параметры!$B$10)+K9)*(1+Параметры!$B$2),Параметры!$B$4)-Параметры!$B$5))*(1+Параметры!$B$6),Параметры!$B$4)-Параметры!$B$5)</f>
        <v/>
      </c>
      <c r="N9" s="12"/>
      <c r="O9" s="7" t="str">
        <f aca="false">IF(OR(M9="",N9=""),"",IF(M9&lt;=N9,"не дороже рынка","дороже рынка"))</f>
        <v/>
      </c>
      <c r="P9" s="9" t="str">
        <f aca="false">IF(M9="","",M9*Параметры!$B$7)</f>
        <v/>
      </c>
      <c r="Q9" s="9" t="str">
        <f aca="false">IF(M9="","",M9*Параметры!$B$11)</f>
        <v/>
      </c>
      <c r="R9" s="9" t="str">
        <f aca="false">IF(M9="","",Параметры!$B$8)</f>
        <v/>
      </c>
      <c r="S9" s="9" t="str">
        <f aca="false">IF(I9="","",I9*Параметры!$B$9)</f>
        <v/>
      </c>
      <c r="T9" s="9" t="str">
        <f aca="false">IF(M9="","",Параметры!$B$19)</f>
        <v/>
      </c>
      <c r="U9" s="11" t="str">
        <f aca="false">IF(M9="","",M9-L9-P9-R9-S9-T9)</f>
        <v/>
      </c>
      <c r="V9" s="11" t="str">
        <f aca="false">IF(M9="","",M9-L9-Q9-R9-S9-T9-Параметры!$B$12)</f>
        <v/>
      </c>
      <c r="W9" s="13" t="str">
        <f aca="false">IF(U9="","",U9/M9)</f>
        <v/>
      </c>
      <c r="X9" s="14" t="s">
        <v>48</v>
      </c>
      <c r="Y9" s="12"/>
    </row>
    <row r="10" customFormat="false" ht="15" hidden="false" customHeight="false" outlineLevel="0" collapsed="false">
      <c r="A10" s="6" t="s">
        <v>83</v>
      </c>
      <c r="B10" s="7" t="s">
        <v>41</v>
      </c>
      <c r="C10" s="7" t="s">
        <v>84</v>
      </c>
      <c r="D10" s="7" t="s">
        <v>85</v>
      </c>
      <c r="E10" s="7" t="s">
        <v>44</v>
      </c>
      <c r="F10" s="7" t="s">
        <v>45</v>
      </c>
      <c r="G10" s="8" t="s">
        <v>86</v>
      </c>
      <c r="H10" s="7" t="s">
        <v>87</v>
      </c>
      <c r="I10" s="9" t="str">
        <f aca="false">IF(SUMIFS(Состав!$R:$R,Состав!$A:$A,A10)=0,"",SUMIFS(Состав!$R:$R,Состав!$A:$A,A10))</f>
        <v/>
      </c>
      <c r="J10" s="10" t="n">
        <f aca="false">COUNTIFS(Состав!$A:$A,A10,Состав!$P:$P,"",Состав!$D:$D,"&gt;0")</f>
        <v>5</v>
      </c>
      <c r="K10" s="9" t="str">
        <f aca="false">IF(I10="","",Параметры!$B$3)</f>
        <v/>
      </c>
      <c r="L10" s="9" t="str">
        <f aca="false">IF(I10="","",I10+K10)</f>
        <v/>
      </c>
      <c r="M10" s="11" t="str">
        <f aca="false">IF(I10="","",CEILING((IF(Y10&lt;&gt;"",Y10,CEILING((I10*(1+Параметры!$B$9*Параметры!$B$10)+K10)*(1+Параметры!$B$2),Параметры!$B$4)-Параметры!$B$5))*(1+Параметры!$B$6),Параметры!$B$4)-Параметры!$B$5)</f>
        <v/>
      </c>
      <c r="N10" s="12"/>
      <c r="O10" s="7" t="str">
        <f aca="false">IF(OR(M10="",N10=""),"",IF(M10&lt;=N10,"не дороже рынка","дороже рынка"))</f>
        <v/>
      </c>
      <c r="P10" s="9" t="str">
        <f aca="false">IF(M10="","",M10*Параметры!$B$7)</f>
        <v/>
      </c>
      <c r="Q10" s="9" t="str">
        <f aca="false">IF(M10="","",M10*Параметры!$B$11)</f>
        <v/>
      </c>
      <c r="R10" s="9" t="str">
        <f aca="false">IF(M10="","",Параметры!$B$8)</f>
        <v/>
      </c>
      <c r="S10" s="9" t="str">
        <f aca="false">IF(I10="","",I10*Параметры!$B$9)</f>
        <v/>
      </c>
      <c r="T10" s="9" t="str">
        <f aca="false">IF(M10="","",Параметры!$B$19)</f>
        <v/>
      </c>
      <c r="U10" s="11" t="str">
        <f aca="false">IF(M10="","",M10-L10-P10-R10-S10-T10)</f>
        <v/>
      </c>
      <c r="V10" s="11" t="str">
        <f aca="false">IF(M10="","",M10-L10-Q10-R10-S10-T10-Параметры!$B$12)</f>
        <v/>
      </c>
      <c r="W10" s="13" t="str">
        <f aca="false">IF(U10="","",U10/M10)</f>
        <v/>
      </c>
      <c r="X10" s="14" t="s">
        <v>48</v>
      </c>
      <c r="Y10" s="12"/>
    </row>
    <row r="11" customFormat="false" ht="15" hidden="false" customHeight="false" outlineLevel="0" collapsed="false">
      <c r="A11" s="6" t="s">
        <v>88</v>
      </c>
      <c r="B11" s="7" t="s">
        <v>41</v>
      </c>
      <c r="C11" s="7" t="s">
        <v>89</v>
      </c>
      <c r="D11" s="7" t="s">
        <v>90</v>
      </c>
      <c r="E11" s="7" t="s">
        <v>44</v>
      </c>
      <c r="F11" s="7" t="s">
        <v>45</v>
      </c>
      <c r="G11" s="8" t="s">
        <v>91</v>
      </c>
      <c r="H11" s="7" t="s">
        <v>92</v>
      </c>
      <c r="I11" s="9" t="str">
        <f aca="false">IF(SUMIFS(Состав!$R:$R,Состав!$A:$A,A11)=0,"",SUMIFS(Состав!$R:$R,Состав!$A:$A,A11))</f>
        <v/>
      </c>
      <c r="J11" s="10" t="n">
        <f aca="false">COUNTIFS(Состав!$A:$A,A11,Состав!$P:$P,"",Состав!$D:$D,"&gt;0")</f>
        <v>5</v>
      </c>
      <c r="K11" s="9" t="str">
        <f aca="false">IF(I11="","",Параметры!$B$3)</f>
        <v/>
      </c>
      <c r="L11" s="9" t="str">
        <f aca="false">IF(I11="","",I11+K11)</f>
        <v/>
      </c>
      <c r="M11" s="11" t="str">
        <f aca="false">IF(I11="","",CEILING((IF(Y11&lt;&gt;"",Y11,CEILING((I11*(1+Параметры!$B$9*Параметры!$B$10)+K11)*(1+Параметры!$B$2),Параметры!$B$4)-Параметры!$B$5))*(1+Параметры!$B$6),Параметры!$B$4)-Параметры!$B$5)</f>
        <v/>
      </c>
      <c r="N11" s="12"/>
      <c r="O11" s="7" t="str">
        <f aca="false">IF(OR(M11="",N11=""),"",IF(M11&lt;=N11,"не дороже рынка","дороже рынка"))</f>
        <v/>
      </c>
      <c r="P11" s="9" t="str">
        <f aca="false">IF(M11="","",M11*Параметры!$B$7)</f>
        <v/>
      </c>
      <c r="Q11" s="9" t="str">
        <f aca="false">IF(M11="","",M11*Параметры!$B$11)</f>
        <v/>
      </c>
      <c r="R11" s="9" t="str">
        <f aca="false">IF(M11="","",Параметры!$B$8)</f>
        <v/>
      </c>
      <c r="S11" s="9" t="str">
        <f aca="false">IF(I11="","",I11*Параметры!$B$9)</f>
        <v/>
      </c>
      <c r="T11" s="9" t="str">
        <f aca="false">IF(M11="","",Параметры!$B$19)</f>
        <v/>
      </c>
      <c r="U11" s="11" t="str">
        <f aca="false">IF(M11="","",M11-L11-P11-R11-S11-T11)</f>
        <v/>
      </c>
      <c r="V11" s="11" t="str">
        <f aca="false">IF(M11="","",M11-L11-Q11-R11-S11-T11-Параметры!$B$12)</f>
        <v/>
      </c>
      <c r="W11" s="13" t="str">
        <f aca="false">IF(U11="","",U11/M11)</f>
        <v/>
      </c>
      <c r="X11" s="14" t="s">
        <v>48</v>
      </c>
      <c r="Y11" s="12"/>
    </row>
    <row r="12" customFormat="false" ht="15" hidden="false" customHeight="false" outlineLevel="0" collapsed="false">
      <c r="A12" s="6" t="s">
        <v>93</v>
      </c>
      <c r="B12" s="7" t="s">
        <v>41</v>
      </c>
      <c r="C12" s="7" t="s">
        <v>94</v>
      </c>
      <c r="D12" s="7" t="s">
        <v>90</v>
      </c>
      <c r="E12" s="7" t="s">
        <v>44</v>
      </c>
      <c r="F12" s="7" t="s">
        <v>45</v>
      </c>
      <c r="G12" s="8" t="s">
        <v>95</v>
      </c>
      <c r="H12" s="7" t="s">
        <v>96</v>
      </c>
      <c r="I12" s="9" t="str">
        <f aca="false">IF(SUMIFS(Состав!$R:$R,Состав!$A:$A,A12)=0,"",SUMIFS(Состав!$R:$R,Состав!$A:$A,A12))</f>
        <v/>
      </c>
      <c r="J12" s="10" t="n">
        <f aca="false">COUNTIFS(Состав!$A:$A,A12,Состав!$P:$P,"",Состав!$D:$D,"&gt;0")</f>
        <v>5</v>
      </c>
      <c r="K12" s="9" t="str">
        <f aca="false">IF(I12="","",Параметры!$B$3)</f>
        <v/>
      </c>
      <c r="L12" s="9" t="str">
        <f aca="false">IF(I12="","",I12+K12)</f>
        <v/>
      </c>
      <c r="M12" s="11" t="str">
        <f aca="false">IF(I12="","",CEILING((IF(Y12&lt;&gt;"",Y12,CEILING((I12*(1+Параметры!$B$9*Параметры!$B$10)+K12)*(1+Параметры!$B$2),Параметры!$B$4)-Параметры!$B$5))*(1+Параметры!$B$6),Параметры!$B$4)-Параметры!$B$5)</f>
        <v/>
      </c>
      <c r="N12" s="12"/>
      <c r="O12" s="7" t="str">
        <f aca="false">IF(OR(M12="",N12=""),"",IF(M12&lt;=N12,"не дороже рынка","дороже рынка"))</f>
        <v/>
      </c>
      <c r="P12" s="9" t="str">
        <f aca="false">IF(M12="","",M12*Параметры!$B$7)</f>
        <v/>
      </c>
      <c r="Q12" s="9" t="str">
        <f aca="false">IF(M12="","",M12*Параметры!$B$11)</f>
        <v/>
      </c>
      <c r="R12" s="9" t="str">
        <f aca="false">IF(M12="","",Параметры!$B$8)</f>
        <v/>
      </c>
      <c r="S12" s="9" t="str">
        <f aca="false">IF(I12="","",I12*Параметры!$B$9)</f>
        <v/>
      </c>
      <c r="T12" s="9" t="str">
        <f aca="false">IF(M12="","",Параметры!$B$19)</f>
        <v/>
      </c>
      <c r="U12" s="11" t="str">
        <f aca="false">IF(M12="","",M12-L12-P12-R12-S12-T12)</f>
        <v/>
      </c>
      <c r="V12" s="11" t="str">
        <f aca="false">IF(M12="","",M12-L12-Q12-R12-S12-T12-Параметры!$B$12)</f>
        <v/>
      </c>
      <c r="W12" s="13" t="str">
        <f aca="false">IF(U12="","",U12/M12)</f>
        <v/>
      </c>
      <c r="X12" s="14" t="s">
        <v>48</v>
      </c>
      <c r="Y12" s="12"/>
    </row>
    <row r="13" customFormat="false" ht="15" hidden="false" customHeight="false" outlineLevel="0" collapsed="false">
      <c r="A13" s="6" t="s">
        <v>97</v>
      </c>
      <c r="B13" s="7" t="s">
        <v>41</v>
      </c>
      <c r="C13" s="7" t="s">
        <v>98</v>
      </c>
      <c r="D13" s="7" t="s">
        <v>99</v>
      </c>
      <c r="E13" s="7" t="s">
        <v>100</v>
      </c>
      <c r="F13" s="7" t="s">
        <v>45</v>
      </c>
      <c r="G13" s="8" t="s">
        <v>101</v>
      </c>
      <c r="H13" s="7" t="s">
        <v>102</v>
      </c>
      <c r="I13" s="9" t="str">
        <f aca="false">IF(SUMIFS(Состав!$R:$R,Состав!$A:$A,A13)=0,"",SUMIFS(Состав!$R:$R,Состав!$A:$A,A13))</f>
        <v/>
      </c>
      <c r="J13" s="10" t="n">
        <f aca="false">COUNTIFS(Состав!$A:$A,A13,Состав!$P:$P,"",Состав!$D:$D,"&gt;0")</f>
        <v>5</v>
      </c>
      <c r="K13" s="9" t="str">
        <f aca="false">IF(I13="","",Параметры!$B$3)</f>
        <v/>
      </c>
      <c r="L13" s="9" t="str">
        <f aca="false">IF(I13="","",I13+K13)</f>
        <v/>
      </c>
      <c r="M13" s="11" t="str">
        <f aca="false">IF(I13="","",CEILING((IF(Y13&lt;&gt;"",Y13,CEILING((I13*(1+Параметры!$B$9*Параметры!$B$10)+K13)*(1+Параметры!$B$2),Параметры!$B$4)-Параметры!$B$5))*(1+Параметры!$B$6),Параметры!$B$4)-Параметры!$B$5)</f>
        <v/>
      </c>
      <c r="N13" s="12"/>
      <c r="O13" s="7" t="str">
        <f aca="false">IF(OR(M13="",N13=""),"",IF(M13&lt;=N13,"не дороже рынка","дороже рынка"))</f>
        <v/>
      </c>
      <c r="P13" s="9" t="str">
        <f aca="false">IF(M13="","",M13*Параметры!$B$7)</f>
        <v/>
      </c>
      <c r="Q13" s="9" t="str">
        <f aca="false">IF(M13="","",M13*Параметры!$B$11)</f>
        <v/>
      </c>
      <c r="R13" s="9" t="str">
        <f aca="false">IF(M13="","",Параметры!$B$8)</f>
        <v/>
      </c>
      <c r="S13" s="9" t="str">
        <f aca="false">IF(I13="","",I13*Параметры!$B$9)</f>
        <v/>
      </c>
      <c r="T13" s="9" t="str">
        <f aca="false">IF(M13="","",Параметры!$B$19)</f>
        <v/>
      </c>
      <c r="U13" s="11" t="str">
        <f aca="false">IF(M13="","",M13-L13-P13-R13-S13-T13)</f>
        <v/>
      </c>
      <c r="V13" s="11" t="str">
        <f aca="false">IF(M13="","",M13-L13-Q13-R13-S13-T13-Параметры!$B$12)</f>
        <v/>
      </c>
      <c r="W13" s="13" t="str">
        <f aca="false">IF(U13="","",U13/M13)</f>
        <v/>
      </c>
      <c r="X13" s="14" t="s">
        <v>48</v>
      </c>
      <c r="Y13" s="12"/>
    </row>
    <row r="14" customFormat="false" ht="15" hidden="false" customHeight="false" outlineLevel="0" collapsed="false">
      <c r="A14" s="6" t="s">
        <v>103</v>
      </c>
      <c r="B14" s="7" t="s">
        <v>41</v>
      </c>
      <c r="C14" s="7" t="s">
        <v>104</v>
      </c>
      <c r="D14" s="7" t="s">
        <v>105</v>
      </c>
      <c r="E14" s="7" t="s">
        <v>44</v>
      </c>
      <c r="F14" s="7" t="s">
        <v>45</v>
      </c>
      <c r="G14" s="8" t="s">
        <v>106</v>
      </c>
      <c r="H14" s="7" t="s">
        <v>107</v>
      </c>
      <c r="I14" s="9" t="str">
        <f aca="false">IF(SUMIFS(Состав!$R:$R,Состав!$A:$A,A14)=0,"",SUMIFS(Состав!$R:$R,Состав!$A:$A,A14))</f>
        <v/>
      </c>
      <c r="J14" s="10" t="n">
        <f aca="false">COUNTIFS(Состав!$A:$A,A14,Состав!$P:$P,"",Состав!$D:$D,"&gt;0")</f>
        <v>4</v>
      </c>
      <c r="K14" s="9" t="str">
        <f aca="false">IF(I14="","",Параметры!$B$3)</f>
        <v/>
      </c>
      <c r="L14" s="9" t="str">
        <f aca="false">IF(I14="","",I14+K14)</f>
        <v/>
      </c>
      <c r="M14" s="11" t="str">
        <f aca="false">IF(I14="","",CEILING((IF(Y14&lt;&gt;"",Y14,CEILING((I14*(1+Параметры!$B$9*Параметры!$B$10)+K14)*(1+Параметры!$B$2),Параметры!$B$4)-Параметры!$B$5))*(1+Параметры!$B$6),Параметры!$B$4)-Параметры!$B$5)</f>
        <v/>
      </c>
      <c r="N14" s="12"/>
      <c r="O14" s="7" t="str">
        <f aca="false">IF(OR(M14="",N14=""),"",IF(M14&lt;=N14,"не дороже рынка","дороже рынка"))</f>
        <v/>
      </c>
      <c r="P14" s="9" t="str">
        <f aca="false">IF(M14="","",M14*Параметры!$B$7)</f>
        <v/>
      </c>
      <c r="Q14" s="9" t="str">
        <f aca="false">IF(M14="","",M14*Параметры!$B$11)</f>
        <v/>
      </c>
      <c r="R14" s="9" t="str">
        <f aca="false">IF(M14="","",Параметры!$B$8)</f>
        <v/>
      </c>
      <c r="S14" s="9" t="str">
        <f aca="false">IF(I14="","",I14*Параметры!$B$9)</f>
        <v/>
      </c>
      <c r="T14" s="9" t="str">
        <f aca="false">IF(M14="","",Параметры!$B$19)</f>
        <v/>
      </c>
      <c r="U14" s="11" t="str">
        <f aca="false">IF(M14="","",M14-L14-P14-R14-S14-T14)</f>
        <v/>
      </c>
      <c r="V14" s="11" t="str">
        <f aca="false">IF(M14="","",M14-L14-Q14-R14-S14-T14-Параметры!$B$12)</f>
        <v/>
      </c>
      <c r="W14" s="13" t="str">
        <f aca="false">IF(U14="","",U14/M14)</f>
        <v/>
      </c>
      <c r="X14" s="14" t="s">
        <v>48</v>
      </c>
      <c r="Y14" s="12"/>
    </row>
    <row r="15" customFormat="false" ht="15" hidden="false" customHeight="false" outlineLevel="0" collapsed="false">
      <c r="A15" s="6" t="s">
        <v>108</v>
      </c>
      <c r="B15" s="7" t="s">
        <v>41</v>
      </c>
      <c r="C15" s="7" t="s">
        <v>109</v>
      </c>
      <c r="D15" s="7" t="s">
        <v>110</v>
      </c>
      <c r="E15" s="7" t="s">
        <v>111</v>
      </c>
      <c r="F15" s="7" t="s">
        <v>45</v>
      </c>
      <c r="G15" s="8" t="s">
        <v>112</v>
      </c>
      <c r="H15" s="7" t="s">
        <v>113</v>
      </c>
      <c r="I15" s="9" t="str">
        <f aca="false">IF(SUMIFS(Состав!$R:$R,Состав!$A:$A,A15)=0,"",SUMIFS(Состав!$R:$R,Состав!$A:$A,A15))</f>
        <v/>
      </c>
      <c r="J15" s="10" t="n">
        <f aca="false">COUNTIFS(Состав!$A:$A,A15,Состав!$P:$P,"",Состав!$D:$D,"&gt;0")</f>
        <v>4</v>
      </c>
      <c r="K15" s="9" t="str">
        <f aca="false">IF(I15="","",Параметры!$B$3)</f>
        <v/>
      </c>
      <c r="L15" s="9" t="str">
        <f aca="false">IF(I15="","",I15+K15)</f>
        <v/>
      </c>
      <c r="M15" s="11" t="str">
        <f aca="false">IF(I15="","",CEILING((IF(Y15&lt;&gt;"",Y15,CEILING((I15*(1+Параметры!$B$9*Параметры!$B$10)+K15)*(1+Параметры!$B$2),Параметры!$B$4)-Параметры!$B$5))*(1+Параметры!$B$6),Параметры!$B$4)-Параметры!$B$5)</f>
        <v/>
      </c>
      <c r="N15" s="12"/>
      <c r="O15" s="7" t="str">
        <f aca="false">IF(OR(M15="",N15=""),"",IF(M15&lt;=N15,"не дороже рынка","дороже рынка"))</f>
        <v/>
      </c>
      <c r="P15" s="9" t="str">
        <f aca="false">IF(M15="","",M15*Параметры!$B$7)</f>
        <v/>
      </c>
      <c r="Q15" s="9" t="str">
        <f aca="false">IF(M15="","",M15*Параметры!$B$11)</f>
        <v/>
      </c>
      <c r="R15" s="9" t="str">
        <f aca="false">IF(M15="","",Параметры!$B$8)</f>
        <v/>
      </c>
      <c r="S15" s="9" t="str">
        <f aca="false">IF(I15="","",I15*Параметры!$B$9)</f>
        <v/>
      </c>
      <c r="T15" s="9" t="str">
        <f aca="false">IF(M15="","",Параметры!$B$19)</f>
        <v/>
      </c>
      <c r="U15" s="11" t="str">
        <f aca="false">IF(M15="","",M15-L15-P15-R15-S15-T15)</f>
        <v/>
      </c>
      <c r="V15" s="11" t="str">
        <f aca="false">IF(M15="","",M15-L15-Q15-R15-S15-T15-Параметры!$B$12)</f>
        <v/>
      </c>
      <c r="W15" s="13" t="str">
        <f aca="false">IF(U15="","",U15/M15)</f>
        <v/>
      </c>
      <c r="X15" s="14" t="s">
        <v>48</v>
      </c>
      <c r="Y15" s="12"/>
    </row>
    <row r="16" customFormat="false" ht="15" hidden="false" customHeight="false" outlineLevel="0" collapsed="false">
      <c r="A16" s="6" t="s">
        <v>114</v>
      </c>
      <c r="B16" s="7" t="s">
        <v>115</v>
      </c>
      <c r="C16" s="7" t="s">
        <v>42</v>
      </c>
      <c r="D16" s="7" t="s">
        <v>43</v>
      </c>
      <c r="E16" s="7" t="s">
        <v>44</v>
      </c>
      <c r="F16" s="7" t="s">
        <v>45</v>
      </c>
      <c r="G16" s="8" t="s">
        <v>116</v>
      </c>
      <c r="H16" s="7" t="s">
        <v>117</v>
      </c>
      <c r="I16" s="9" t="str">
        <f aca="false">IF(SUMIFS(Состав!$R:$R,Состав!$A:$A,A16)=0,"",SUMIFS(Состав!$R:$R,Состав!$A:$A,A16))</f>
        <v/>
      </c>
      <c r="J16" s="10" t="n">
        <f aca="false">COUNTIFS(Состав!$A:$A,A16,Состав!$P:$P,"",Состав!$D:$D,"&gt;0")</f>
        <v>3</v>
      </c>
      <c r="K16" s="9" t="str">
        <f aca="false">IF(I16="","",Параметры!$B$3)</f>
        <v/>
      </c>
      <c r="L16" s="9" t="str">
        <f aca="false">IF(I16="","",I16+K16)</f>
        <v/>
      </c>
      <c r="M16" s="11" t="str">
        <f aca="false">IF(I16="","",CEILING((IF(Y16&lt;&gt;"",Y16,CEILING((I16*(1+Параметры!$B$9*Параметры!$B$10)+K16)*(1+Параметры!$B$2),Параметры!$B$4)-Параметры!$B$5))*(1+Параметры!$B$6),Параметры!$B$4)-Параметры!$B$5)</f>
        <v/>
      </c>
      <c r="N16" s="12"/>
      <c r="O16" s="7" t="str">
        <f aca="false">IF(OR(M16="",N16=""),"",IF(M16&lt;=N16,"не дороже рынка","дороже рынка"))</f>
        <v/>
      </c>
      <c r="P16" s="9" t="str">
        <f aca="false">IF(M16="","",M16*Параметры!$B$7)</f>
        <v/>
      </c>
      <c r="Q16" s="9" t="str">
        <f aca="false">IF(M16="","",M16*Параметры!$B$11)</f>
        <v/>
      </c>
      <c r="R16" s="9" t="str">
        <f aca="false">IF(M16="","",Параметры!$B$8)</f>
        <v/>
      </c>
      <c r="S16" s="9" t="str">
        <f aca="false">IF(I16="","",I16*Параметры!$B$9)</f>
        <v/>
      </c>
      <c r="T16" s="9" t="str">
        <f aca="false">IF(M16="","",Параметры!$B$19)</f>
        <v/>
      </c>
      <c r="U16" s="11" t="str">
        <f aca="false">IF(M16="","",M16-L16-P16-R16-S16-T16)</f>
        <v/>
      </c>
      <c r="V16" s="11" t="str">
        <f aca="false">IF(M16="","",M16-L16-Q16-R16-S16-T16-Параметры!$B$12)</f>
        <v/>
      </c>
      <c r="W16" s="13" t="str">
        <f aca="false">IF(U16="","",U16/M16)</f>
        <v/>
      </c>
      <c r="X16" s="14" t="s">
        <v>48</v>
      </c>
      <c r="Y16" s="12"/>
    </row>
    <row r="17" customFormat="false" ht="15" hidden="false" customHeight="false" outlineLevel="0" collapsed="false">
      <c r="A17" s="6" t="s">
        <v>118</v>
      </c>
      <c r="B17" s="7" t="s">
        <v>115</v>
      </c>
      <c r="C17" s="7" t="s">
        <v>50</v>
      </c>
      <c r="D17" s="7" t="s">
        <v>51</v>
      </c>
      <c r="E17" s="7" t="s">
        <v>44</v>
      </c>
      <c r="F17" s="7" t="s">
        <v>45</v>
      </c>
      <c r="G17" s="8" t="s">
        <v>119</v>
      </c>
      <c r="H17" s="7" t="s">
        <v>120</v>
      </c>
      <c r="I17" s="9" t="str">
        <f aca="false">IF(SUMIFS(Состав!$R:$R,Состав!$A:$A,A17)=0,"",SUMIFS(Состав!$R:$R,Состав!$A:$A,A17))</f>
        <v/>
      </c>
      <c r="J17" s="10" t="n">
        <f aca="false">COUNTIFS(Состав!$A:$A,A17,Состав!$P:$P,"",Состав!$D:$D,"&gt;0")</f>
        <v>3</v>
      </c>
      <c r="K17" s="9" t="str">
        <f aca="false">IF(I17="","",Параметры!$B$3)</f>
        <v/>
      </c>
      <c r="L17" s="9" t="str">
        <f aca="false">IF(I17="","",I17+K17)</f>
        <v/>
      </c>
      <c r="M17" s="11" t="str">
        <f aca="false">IF(I17="","",CEILING((IF(Y17&lt;&gt;"",Y17,CEILING((I17*(1+Параметры!$B$9*Параметры!$B$10)+K17)*(1+Параметры!$B$2),Параметры!$B$4)-Параметры!$B$5))*(1+Параметры!$B$6),Параметры!$B$4)-Параметры!$B$5)</f>
        <v/>
      </c>
      <c r="N17" s="12"/>
      <c r="O17" s="7" t="str">
        <f aca="false">IF(OR(M17="",N17=""),"",IF(M17&lt;=N17,"не дороже рынка","дороже рынка"))</f>
        <v/>
      </c>
      <c r="P17" s="9" t="str">
        <f aca="false">IF(M17="","",M17*Параметры!$B$7)</f>
        <v/>
      </c>
      <c r="Q17" s="9" t="str">
        <f aca="false">IF(M17="","",M17*Параметры!$B$11)</f>
        <v/>
      </c>
      <c r="R17" s="9" t="str">
        <f aca="false">IF(M17="","",Параметры!$B$8)</f>
        <v/>
      </c>
      <c r="S17" s="9" t="str">
        <f aca="false">IF(I17="","",I17*Параметры!$B$9)</f>
        <v/>
      </c>
      <c r="T17" s="9" t="str">
        <f aca="false">IF(M17="","",Параметры!$B$19)</f>
        <v/>
      </c>
      <c r="U17" s="11" t="str">
        <f aca="false">IF(M17="","",M17-L17-P17-R17-S17-T17)</f>
        <v/>
      </c>
      <c r="V17" s="11" t="str">
        <f aca="false">IF(M17="","",M17-L17-Q17-R17-S17-T17-Параметры!$B$12)</f>
        <v/>
      </c>
      <c r="W17" s="13" t="str">
        <f aca="false">IF(U17="","",U17/M17)</f>
        <v/>
      </c>
      <c r="X17" s="14" t="s">
        <v>48</v>
      </c>
      <c r="Y17" s="12"/>
    </row>
    <row r="18" customFormat="false" ht="15" hidden="false" customHeight="false" outlineLevel="0" collapsed="false">
      <c r="A18" s="6" t="s">
        <v>121</v>
      </c>
      <c r="B18" s="7" t="s">
        <v>115</v>
      </c>
      <c r="C18" s="7" t="s">
        <v>55</v>
      </c>
      <c r="D18" s="7" t="s">
        <v>43</v>
      </c>
      <c r="E18" s="7" t="s">
        <v>44</v>
      </c>
      <c r="F18" s="7" t="s">
        <v>45</v>
      </c>
      <c r="G18" s="8" t="s">
        <v>122</v>
      </c>
      <c r="H18" s="7" t="s">
        <v>123</v>
      </c>
      <c r="I18" s="9" t="str">
        <f aca="false">IF(SUMIFS(Состав!$R:$R,Состав!$A:$A,A18)=0,"",SUMIFS(Состав!$R:$R,Состав!$A:$A,A18))</f>
        <v/>
      </c>
      <c r="J18" s="10" t="n">
        <f aca="false">COUNTIFS(Состав!$A:$A,A18,Состав!$P:$P,"",Состав!$D:$D,"&gt;0")</f>
        <v>3</v>
      </c>
      <c r="K18" s="9" t="str">
        <f aca="false">IF(I18="","",Параметры!$B$3)</f>
        <v/>
      </c>
      <c r="L18" s="9" t="str">
        <f aca="false">IF(I18="","",I18+K18)</f>
        <v/>
      </c>
      <c r="M18" s="11" t="str">
        <f aca="false">IF(I18="","",CEILING((IF(Y18&lt;&gt;"",Y18,CEILING((I18*(1+Параметры!$B$9*Параметры!$B$10)+K18)*(1+Параметры!$B$2),Параметры!$B$4)-Параметры!$B$5))*(1+Параметры!$B$6),Параметры!$B$4)-Параметры!$B$5)</f>
        <v/>
      </c>
      <c r="N18" s="12"/>
      <c r="O18" s="7" t="str">
        <f aca="false">IF(OR(M18="",N18=""),"",IF(M18&lt;=N18,"не дороже рынка","дороже рынка"))</f>
        <v/>
      </c>
      <c r="P18" s="9" t="str">
        <f aca="false">IF(M18="","",M18*Параметры!$B$7)</f>
        <v/>
      </c>
      <c r="Q18" s="9" t="str">
        <f aca="false">IF(M18="","",M18*Параметры!$B$11)</f>
        <v/>
      </c>
      <c r="R18" s="9" t="str">
        <f aca="false">IF(M18="","",Параметры!$B$8)</f>
        <v/>
      </c>
      <c r="S18" s="9" t="str">
        <f aca="false">IF(I18="","",I18*Параметры!$B$9)</f>
        <v/>
      </c>
      <c r="T18" s="9" t="str">
        <f aca="false">IF(M18="","",Параметры!$B$19)</f>
        <v/>
      </c>
      <c r="U18" s="11" t="str">
        <f aca="false">IF(M18="","",M18-L18-P18-R18-S18-T18)</f>
        <v/>
      </c>
      <c r="V18" s="11" t="str">
        <f aca="false">IF(M18="","",M18-L18-Q18-R18-S18-T18-Параметры!$B$12)</f>
        <v/>
      </c>
      <c r="W18" s="13" t="str">
        <f aca="false">IF(U18="","",U18/M18)</f>
        <v/>
      </c>
      <c r="X18" s="14" t="s">
        <v>48</v>
      </c>
      <c r="Y18" s="12"/>
    </row>
    <row r="19" customFormat="false" ht="15" hidden="false" customHeight="false" outlineLevel="0" collapsed="false">
      <c r="A19" s="6" t="s">
        <v>124</v>
      </c>
      <c r="B19" s="7" t="s">
        <v>115</v>
      </c>
      <c r="C19" s="7" t="s">
        <v>59</v>
      </c>
      <c r="D19" s="7" t="s">
        <v>51</v>
      </c>
      <c r="E19" s="7" t="s">
        <v>44</v>
      </c>
      <c r="F19" s="7" t="s">
        <v>45</v>
      </c>
      <c r="G19" s="8" t="s">
        <v>125</v>
      </c>
      <c r="H19" s="7" t="s">
        <v>126</v>
      </c>
      <c r="I19" s="9" t="str">
        <f aca="false">IF(SUMIFS(Состав!$R:$R,Состав!$A:$A,A19)=0,"",SUMIFS(Состав!$R:$R,Состав!$A:$A,A19))</f>
        <v/>
      </c>
      <c r="J19" s="10" t="n">
        <f aca="false">COUNTIFS(Состав!$A:$A,A19,Состав!$P:$P,"",Состав!$D:$D,"&gt;0")</f>
        <v>3</v>
      </c>
      <c r="K19" s="9" t="str">
        <f aca="false">IF(I19="","",Параметры!$B$3)</f>
        <v/>
      </c>
      <c r="L19" s="9" t="str">
        <f aca="false">IF(I19="","",I19+K19)</f>
        <v/>
      </c>
      <c r="M19" s="11" t="str">
        <f aca="false">IF(I19="","",CEILING((IF(Y19&lt;&gt;"",Y19,CEILING((I19*(1+Параметры!$B$9*Параметры!$B$10)+K19)*(1+Параметры!$B$2),Параметры!$B$4)-Параметры!$B$5))*(1+Параметры!$B$6),Параметры!$B$4)-Параметры!$B$5)</f>
        <v/>
      </c>
      <c r="N19" s="12"/>
      <c r="O19" s="7" t="str">
        <f aca="false">IF(OR(M19="",N19=""),"",IF(M19&lt;=N19,"не дороже рынка","дороже рынка"))</f>
        <v/>
      </c>
      <c r="P19" s="9" t="str">
        <f aca="false">IF(M19="","",M19*Параметры!$B$7)</f>
        <v/>
      </c>
      <c r="Q19" s="9" t="str">
        <f aca="false">IF(M19="","",M19*Параметры!$B$11)</f>
        <v/>
      </c>
      <c r="R19" s="9" t="str">
        <f aca="false">IF(M19="","",Параметры!$B$8)</f>
        <v/>
      </c>
      <c r="S19" s="9" t="str">
        <f aca="false">IF(I19="","",I19*Параметры!$B$9)</f>
        <v/>
      </c>
      <c r="T19" s="9" t="str">
        <f aca="false">IF(M19="","",Параметры!$B$19)</f>
        <v/>
      </c>
      <c r="U19" s="11" t="str">
        <f aca="false">IF(M19="","",M19-L19-P19-R19-S19-T19)</f>
        <v/>
      </c>
      <c r="V19" s="11" t="str">
        <f aca="false">IF(M19="","",M19-L19-Q19-R19-S19-T19-Параметры!$B$12)</f>
        <v/>
      </c>
      <c r="W19" s="13" t="str">
        <f aca="false">IF(U19="","",U19/M19)</f>
        <v/>
      </c>
      <c r="X19" s="14" t="s">
        <v>48</v>
      </c>
      <c r="Y19" s="12"/>
    </row>
    <row r="20" customFormat="false" ht="15" hidden="false" customHeight="false" outlineLevel="0" collapsed="false">
      <c r="A20" s="6" t="s">
        <v>127</v>
      </c>
      <c r="B20" s="7" t="s">
        <v>115</v>
      </c>
      <c r="C20" s="7" t="s">
        <v>63</v>
      </c>
      <c r="D20" s="7" t="s">
        <v>64</v>
      </c>
      <c r="E20" s="7" t="s">
        <v>44</v>
      </c>
      <c r="F20" s="7" t="s">
        <v>128</v>
      </c>
      <c r="G20" s="8" t="s">
        <v>129</v>
      </c>
      <c r="H20" s="7" t="s">
        <v>130</v>
      </c>
      <c r="I20" s="9" t="str">
        <f aca="false">IF(SUMIFS(Состав!$R:$R,Состав!$A:$A,A20)=0,"",SUMIFS(Состав!$R:$R,Состав!$A:$A,A20))</f>
        <v/>
      </c>
      <c r="J20" s="10" t="n">
        <f aca="false">COUNTIFS(Состав!$A:$A,A20,Состав!$P:$P,"",Состав!$D:$D,"&gt;0")</f>
        <v>3</v>
      </c>
      <c r="K20" s="9" t="str">
        <f aca="false">IF(I20="","",Параметры!$B$3)</f>
        <v/>
      </c>
      <c r="L20" s="9" t="str">
        <f aca="false">IF(I20="","",I20+K20)</f>
        <v/>
      </c>
      <c r="M20" s="11" t="str">
        <f aca="false">IF(I20="","",CEILING((IF(Y20&lt;&gt;"",Y20,CEILING((I20*(1+Параметры!$B$9*Параметры!$B$10)+K20)*(1+Параметры!$B$2),Параметры!$B$4)-Параметры!$B$5))*(1+Параметры!$B$6),Параметры!$B$4)-Параметры!$B$5)</f>
        <v/>
      </c>
      <c r="N20" s="12"/>
      <c r="O20" s="7" t="str">
        <f aca="false">IF(OR(M20="",N20=""),"",IF(M20&lt;=N20,"не дороже рынка","дороже рынка"))</f>
        <v/>
      </c>
      <c r="P20" s="9" t="str">
        <f aca="false">IF(M20="","",M20*Параметры!$B$7)</f>
        <v/>
      </c>
      <c r="Q20" s="9" t="str">
        <f aca="false">IF(M20="","",M20*Параметры!$B$11)</f>
        <v/>
      </c>
      <c r="R20" s="9" t="str">
        <f aca="false">IF(M20="","",Параметры!$B$8)</f>
        <v/>
      </c>
      <c r="S20" s="9" t="str">
        <f aca="false">IF(I20="","",I20*Параметры!$B$9)</f>
        <v/>
      </c>
      <c r="T20" s="9" t="str">
        <f aca="false">IF(M20="","",Параметры!$B$19)</f>
        <v/>
      </c>
      <c r="U20" s="11" t="str">
        <f aca="false">IF(M20="","",M20-L20-P20-R20-S20-T20)</f>
        <v/>
      </c>
      <c r="V20" s="11" t="str">
        <f aca="false">IF(M20="","",M20-L20-Q20-R20-S20-T20-Параметры!$B$12)</f>
        <v/>
      </c>
      <c r="W20" s="13" t="str">
        <f aca="false">IF(U20="","",U20/M20)</f>
        <v/>
      </c>
      <c r="X20" s="14" t="s">
        <v>48</v>
      </c>
      <c r="Y20" s="12"/>
    </row>
    <row r="21" customFormat="false" ht="15" hidden="false" customHeight="false" outlineLevel="0" collapsed="false">
      <c r="A21" s="6" t="s">
        <v>131</v>
      </c>
      <c r="B21" s="7" t="s">
        <v>115</v>
      </c>
      <c r="C21" s="7" t="s">
        <v>68</v>
      </c>
      <c r="D21" s="7" t="s">
        <v>69</v>
      </c>
      <c r="E21" s="7" t="s">
        <v>70</v>
      </c>
      <c r="F21" s="7" t="s">
        <v>45</v>
      </c>
      <c r="G21" s="8" t="s">
        <v>132</v>
      </c>
      <c r="H21" s="7" t="s">
        <v>133</v>
      </c>
      <c r="I21" s="9" t="str">
        <f aca="false">IF(SUMIFS(Состав!$R:$R,Состав!$A:$A,A21)=0,"",SUMIFS(Состав!$R:$R,Состав!$A:$A,A21))</f>
        <v/>
      </c>
      <c r="J21" s="10" t="n">
        <f aca="false">COUNTIFS(Состав!$A:$A,A21,Состав!$P:$P,"",Состав!$D:$D,"&gt;0")</f>
        <v>1</v>
      </c>
      <c r="K21" s="9" t="str">
        <f aca="false">IF(I21="","",Параметры!$B$3)</f>
        <v/>
      </c>
      <c r="L21" s="9" t="str">
        <f aca="false">IF(I21="","",I21+K21)</f>
        <v/>
      </c>
      <c r="M21" s="11" t="str">
        <f aca="false">IF(I21="","",CEILING((IF(Y21&lt;&gt;"",Y21,CEILING((I21*(1+Параметры!$B$9*Параметры!$B$10)+K21)*(1+Параметры!$B$2),Параметры!$B$4)-Параметры!$B$5))*(1+Параметры!$B$6),Параметры!$B$4)-Параметры!$B$5)</f>
        <v/>
      </c>
      <c r="N21" s="12"/>
      <c r="O21" s="7" t="str">
        <f aca="false">IF(OR(M21="",N21=""),"",IF(M21&lt;=N21,"не дороже рынка","дороже рынка"))</f>
        <v/>
      </c>
      <c r="P21" s="9" t="str">
        <f aca="false">IF(M21="","",M21*Параметры!$B$7)</f>
        <v/>
      </c>
      <c r="Q21" s="9" t="str">
        <f aca="false">IF(M21="","",M21*Параметры!$B$11)</f>
        <v/>
      </c>
      <c r="R21" s="9" t="str">
        <f aca="false">IF(M21="","",Параметры!$B$8)</f>
        <v/>
      </c>
      <c r="S21" s="9" t="str">
        <f aca="false">IF(I21="","",I21*Параметры!$B$9)</f>
        <v/>
      </c>
      <c r="T21" s="9" t="str">
        <f aca="false">IF(M21="","",Параметры!$B$19)</f>
        <v/>
      </c>
      <c r="U21" s="11" t="str">
        <f aca="false">IF(M21="","",M21-L21-P21-R21-S21-T21)</f>
        <v/>
      </c>
      <c r="V21" s="11" t="str">
        <f aca="false">IF(M21="","",M21-L21-Q21-R21-S21-T21-Параметры!$B$12)</f>
        <v/>
      </c>
      <c r="W21" s="13" t="str">
        <f aca="false">IF(U21="","",U21/M21)</f>
        <v/>
      </c>
      <c r="X21" s="14" t="s">
        <v>48</v>
      </c>
      <c r="Y21" s="12"/>
    </row>
    <row r="22" customFormat="false" ht="15" hidden="false" customHeight="false" outlineLevel="0" collapsed="false">
      <c r="A22" s="6" t="s">
        <v>134</v>
      </c>
      <c r="B22" s="7" t="s">
        <v>115</v>
      </c>
      <c r="C22" s="7" t="s">
        <v>74</v>
      </c>
      <c r="D22" s="7" t="s">
        <v>75</v>
      </c>
      <c r="E22" s="7" t="s">
        <v>44</v>
      </c>
      <c r="F22" s="7" t="s">
        <v>128</v>
      </c>
      <c r="G22" s="8" t="s">
        <v>135</v>
      </c>
      <c r="H22" s="7" t="s">
        <v>136</v>
      </c>
      <c r="I22" s="9" t="str">
        <f aca="false">IF(SUMIFS(Состав!$R:$R,Состав!$A:$A,A22)=0,"",SUMIFS(Состав!$R:$R,Состав!$A:$A,A22))</f>
        <v/>
      </c>
      <c r="J22" s="10" t="n">
        <f aca="false">COUNTIFS(Состав!$A:$A,A22,Состав!$P:$P,"",Состав!$D:$D,"&gt;0")</f>
        <v>3</v>
      </c>
      <c r="K22" s="9" t="str">
        <f aca="false">IF(I22="","",Параметры!$B$3)</f>
        <v/>
      </c>
      <c r="L22" s="9" t="str">
        <f aca="false">IF(I22="","",I22+K22)</f>
        <v/>
      </c>
      <c r="M22" s="11" t="str">
        <f aca="false">IF(I22="","",CEILING((IF(Y22&lt;&gt;"",Y22,CEILING((I22*(1+Параметры!$B$9*Параметры!$B$10)+K22)*(1+Параметры!$B$2),Параметры!$B$4)-Параметры!$B$5))*(1+Параметры!$B$6),Параметры!$B$4)-Параметры!$B$5)</f>
        <v/>
      </c>
      <c r="N22" s="12"/>
      <c r="O22" s="7" t="str">
        <f aca="false">IF(OR(M22="",N22=""),"",IF(M22&lt;=N22,"не дороже рынка","дороже рынка"))</f>
        <v/>
      </c>
      <c r="P22" s="9" t="str">
        <f aca="false">IF(M22="","",M22*Параметры!$B$7)</f>
        <v/>
      </c>
      <c r="Q22" s="9" t="str">
        <f aca="false">IF(M22="","",M22*Параметры!$B$11)</f>
        <v/>
      </c>
      <c r="R22" s="9" t="str">
        <f aca="false">IF(M22="","",Параметры!$B$8)</f>
        <v/>
      </c>
      <c r="S22" s="9" t="str">
        <f aca="false">IF(I22="","",I22*Параметры!$B$9)</f>
        <v/>
      </c>
      <c r="T22" s="9" t="str">
        <f aca="false">IF(M22="","",Параметры!$B$19)</f>
        <v/>
      </c>
      <c r="U22" s="11" t="str">
        <f aca="false">IF(M22="","",M22-L22-P22-R22-S22-T22)</f>
        <v/>
      </c>
      <c r="V22" s="11" t="str">
        <f aca="false">IF(M22="","",M22-L22-Q22-R22-S22-T22-Параметры!$B$12)</f>
        <v/>
      </c>
      <c r="W22" s="13" t="str">
        <f aca="false">IF(U22="","",U22/M22)</f>
        <v/>
      </c>
      <c r="X22" s="14" t="s">
        <v>48</v>
      </c>
      <c r="Y22" s="12"/>
    </row>
    <row r="23" customFormat="false" ht="15" hidden="false" customHeight="false" outlineLevel="0" collapsed="false">
      <c r="A23" s="6" t="s">
        <v>137</v>
      </c>
      <c r="B23" s="7" t="s">
        <v>115</v>
      </c>
      <c r="C23" s="7" t="s">
        <v>79</v>
      </c>
      <c r="D23" s="7" t="s">
        <v>80</v>
      </c>
      <c r="E23" s="7" t="s">
        <v>44</v>
      </c>
      <c r="F23" s="7" t="s">
        <v>45</v>
      </c>
      <c r="G23" s="8" t="s">
        <v>138</v>
      </c>
      <c r="H23" s="7" t="s">
        <v>139</v>
      </c>
      <c r="I23" s="9" t="str">
        <f aca="false">IF(SUMIFS(Состав!$R:$R,Состав!$A:$A,A23)=0,"",SUMIFS(Состав!$R:$R,Состав!$A:$A,A23))</f>
        <v/>
      </c>
      <c r="J23" s="10" t="n">
        <f aca="false">COUNTIFS(Состав!$A:$A,A23,Состав!$P:$P,"",Состав!$D:$D,"&gt;0")</f>
        <v>3</v>
      </c>
      <c r="K23" s="9" t="str">
        <f aca="false">IF(I23="","",Параметры!$B$3)</f>
        <v/>
      </c>
      <c r="L23" s="9" t="str">
        <f aca="false">IF(I23="","",I23+K23)</f>
        <v/>
      </c>
      <c r="M23" s="11" t="str">
        <f aca="false">IF(I23="","",CEILING((IF(Y23&lt;&gt;"",Y23,CEILING((I23*(1+Параметры!$B$9*Параметры!$B$10)+K23)*(1+Параметры!$B$2),Параметры!$B$4)-Параметры!$B$5))*(1+Параметры!$B$6),Параметры!$B$4)-Параметры!$B$5)</f>
        <v/>
      </c>
      <c r="N23" s="12"/>
      <c r="O23" s="7" t="str">
        <f aca="false">IF(OR(M23="",N23=""),"",IF(M23&lt;=N23,"не дороже рынка","дороже рынка"))</f>
        <v/>
      </c>
      <c r="P23" s="9" t="str">
        <f aca="false">IF(M23="","",M23*Параметры!$B$7)</f>
        <v/>
      </c>
      <c r="Q23" s="9" t="str">
        <f aca="false">IF(M23="","",M23*Параметры!$B$11)</f>
        <v/>
      </c>
      <c r="R23" s="9" t="str">
        <f aca="false">IF(M23="","",Параметры!$B$8)</f>
        <v/>
      </c>
      <c r="S23" s="9" t="str">
        <f aca="false">IF(I23="","",I23*Параметры!$B$9)</f>
        <v/>
      </c>
      <c r="T23" s="9" t="str">
        <f aca="false">IF(M23="","",Параметры!$B$19)</f>
        <v/>
      </c>
      <c r="U23" s="11" t="str">
        <f aca="false">IF(M23="","",M23-L23-P23-R23-S23-T23)</f>
        <v/>
      </c>
      <c r="V23" s="11" t="str">
        <f aca="false">IF(M23="","",M23-L23-Q23-R23-S23-T23-Параметры!$B$12)</f>
        <v/>
      </c>
      <c r="W23" s="13" t="str">
        <f aca="false">IF(U23="","",U23/M23)</f>
        <v/>
      </c>
      <c r="X23" s="14" t="s">
        <v>48</v>
      </c>
      <c r="Y23" s="12"/>
    </row>
    <row r="24" customFormat="false" ht="15" hidden="false" customHeight="false" outlineLevel="0" collapsed="false">
      <c r="A24" s="6" t="s">
        <v>140</v>
      </c>
      <c r="B24" s="7" t="s">
        <v>115</v>
      </c>
      <c r="C24" s="7" t="s">
        <v>84</v>
      </c>
      <c r="D24" s="7" t="s">
        <v>85</v>
      </c>
      <c r="E24" s="7" t="s">
        <v>44</v>
      </c>
      <c r="F24" s="7" t="s">
        <v>128</v>
      </c>
      <c r="G24" s="8" t="s">
        <v>141</v>
      </c>
      <c r="H24" s="7" t="s">
        <v>142</v>
      </c>
      <c r="I24" s="9" t="str">
        <f aca="false">IF(SUMIFS(Состав!$R:$R,Состав!$A:$A,A24)=0,"",SUMIFS(Состав!$R:$R,Состав!$A:$A,A24))</f>
        <v/>
      </c>
      <c r="J24" s="10" t="n">
        <f aca="false">COUNTIFS(Состав!$A:$A,A24,Состав!$P:$P,"",Состав!$D:$D,"&gt;0")</f>
        <v>3</v>
      </c>
      <c r="K24" s="9" t="str">
        <f aca="false">IF(I24="","",Параметры!$B$3)</f>
        <v/>
      </c>
      <c r="L24" s="9" t="str">
        <f aca="false">IF(I24="","",I24+K24)</f>
        <v/>
      </c>
      <c r="M24" s="11" t="str">
        <f aca="false">IF(I24="","",CEILING((IF(Y24&lt;&gt;"",Y24,CEILING((I24*(1+Параметры!$B$9*Параметры!$B$10)+K24)*(1+Параметры!$B$2),Параметры!$B$4)-Параметры!$B$5))*(1+Параметры!$B$6),Параметры!$B$4)-Параметры!$B$5)</f>
        <v/>
      </c>
      <c r="N24" s="12"/>
      <c r="O24" s="7" t="str">
        <f aca="false">IF(OR(M24="",N24=""),"",IF(M24&lt;=N24,"не дороже рынка","дороже рынка"))</f>
        <v/>
      </c>
      <c r="P24" s="9" t="str">
        <f aca="false">IF(M24="","",M24*Параметры!$B$7)</f>
        <v/>
      </c>
      <c r="Q24" s="9" t="str">
        <f aca="false">IF(M24="","",M24*Параметры!$B$11)</f>
        <v/>
      </c>
      <c r="R24" s="9" t="str">
        <f aca="false">IF(M24="","",Параметры!$B$8)</f>
        <v/>
      </c>
      <c r="S24" s="9" t="str">
        <f aca="false">IF(I24="","",I24*Параметры!$B$9)</f>
        <v/>
      </c>
      <c r="T24" s="9" t="str">
        <f aca="false">IF(M24="","",Параметры!$B$19)</f>
        <v/>
      </c>
      <c r="U24" s="11" t="str">
        <f aca="false">IF(M24="","",M24-L24-P24-R24-S24-T24)</f>
        <v/>
      </c>
      <c r="V24" s="11" t="str">
        <f aca="false">IF(M24="","",M24-L24-Q24-R24-S24-T24-Параметры!$B$12)</f>
        <v/>
      </c>
      <c r="W24" s="13" t="str">
        <f aca="false">IF(U24="","",U24/M24)</f>
        <v/>
      </c>
      <c r="X24" s="14" t="s">
        <v>48</v>
      </c>
      <c r="Y24" s="12"/>
    </row>
    <row r="25" customFormat="false" ht="15" hidden="false" customHeight="false" outlineLevel="0" collapsed="false">
      <c r="A25" s="6" t="s">
        <v>143</v>
      </c>
      <c r="B25" s="7" t="s">
        <v>115</v>
      </c>
      <c r="C25" s="7" t="s">
        <v>144</v>
      </c>
      <c r="D25" s="7" t="s">
        <v>90</v>
      </c>
      <c r="E25" s="7" t="s">
        <v>44</v>
      </c>
      <c r="F25" s="7" t="s">
        <v>145</v>
      </c>
      <c r="G25" s="8" t="s">
        <v>146</v>
      </c>
      <c r="H25" s="7" t="s">
        <v>147</v>
      </c>
      <c r="I25" s="9" t="str">
        <f aca="false">IF(SUMIFS(Состав!$R:$R,Состав!$A:$A,A25)=0,"",SUMIFS(Состав!$R:$R,Состав!$A:$A,A25))</f>
        <v/>
      </c>
      <c r="J25" s="10" t="n">
        <f aca="false">COUNTIFS(Состав!$A:$A,A25,Состав!$P:$P,"",Состав!$D:$D,"&gt;0")</f>
        <v>3</v>
      </c>
      <c r="K25" s="9" t="str">
        <f aca="false">IF(I25="","",Параметры!$B$3)</f>
        <v/>
      </c>
      <c r="L25" s="9" t="str">
        <f aca="false">IF(I25="","",I25+K25)</f>
        <v/>
      </c>
      <c r="M25" s="11" t="str">
        <f aca="false">IF(I25="","",CEILING((IF(Y25&lt;&gt;"",Y25,CEILING((I25*(1+Параметры!$B$9*Параметры!$B$10)+K25)*(1+Параметры!$B$2),Параметры!$B$4)-Параметры!$B$5))*(1+Параметры!$B$6),Параметры!$B$4)-Параметры!$B$5)</f>
        <v/>
      </c>
      <c r="N25" s="12"/>
      <c r="O25" s="7" t="str">
        <f aca="false">IF(OR(M25="",N25=""),"",IF(M25&lt;=N25,"не дороже рынка","дороже рынка"))</f>
        <v/>
      </c>
      <c r="P25" s="9" t="str">
        <f aca="false">IF(M25="","",M25*Параметры!$B$7)</f>
        <v/>
      </c>
      <c r="Q25" s="9" t="str">
        <f aca="false">IF(M25="","",M25*Параметры!$B$11)</f>
        <v/>
      </c>
      <c r="R25" s="9" t="str">
        <f aca="false">IF(M25="","",Параметры!$B$8)</f>
        <v/>
      </c>
      <c r="S25" s="9" t="str">
        <f aca="false">IF(I25="","",I25*Параметры!$B$9)</f>
        <v/>
      </c>
      <c r="T25" s="9" t="str">
        <f aca="false">IF(M25="","",Параметры!$B$19)</f>
        <v/>
      </c>
      <c r="U25" s="11" t="str">
        <f aca="false">IF(M25="","",M25-L25-P25-R25-S25-T25)</f>
        <v/>
      </c>
      <c r="V25" s="11" t="str">
        <f aca="false">IF(M25="","",M25-L25-Q25-R25-S25-T25-Параметры!$B$12)</f>
        <v/>
      </c>
      <c r="W25" s="13" t="str">
        <f aca="false">IF(U25="","",U25/M25)</f>
        <v/>
      </c>
      <c r="X25" s="14" t="s">
        <v>48</v>
      </c>
      <c r="Y25" s="12"/>
    </row>
    <row r="26" customFormat="false" ht="15" hidden="false" customHeight="false" outlineLevel="0" collapsed="false">
      <c r="A26" s="6" t="s">
        <v>148</v>
      </c>
      <c r="B26" s="7" t="s">
        <v>115</v>
      </c>
      <c r="C26" s="7" t="s">
        <v>98</v>
      </c>
      <c r="D26" s="7" t="s">
        <v>99</v>
      </c>
      <c r="E26" s="7" t="s">
        <v>100</v>
      </c>
      <c r="F26" s="7" t="s">
        <v>45</v>
      </c>
      <c r="G26" s="8" t="s">
        <v>149</v>
      </c>
      <c r="H26" s="7" t="s">
        <v>150</v>
      </c>
      <c r="I26" s="9" t="str">
        <f aca="false">IF(SUMIFS(Состав!$R:$R,Состав!$A:$A,A26)=0,"",SUMIFS(Состав!$R:$R,Состав!$A:$A,A26))</f>
        <v/>
      </c>
      <c r="J26" s="10" t="n">
        <f aca="false">COUNTIFS(Состав!$A:$A,A26,Состав!$P:$P,"",Состав!$D:$D,"&gt;0")</f>
        <v>2</v>
      </c>
      <c r="K26" s="9" t="str">
        <f aca="false">IF(I26="","",Параметры!$B$3)</f>
        <v/>
      </c>
      <c r="L26" s="9" t="str">
        <f aca="false">IF(I26="","",I26+K26)</f>
        <v/>
      </c>
      <c r="M26" s="11" t="str">
        <f aca="false">IF(I26="","",CEILING((IF(Y26&lt;&gt;"",Y26,CEILING((I26*(1+Параметры!$B$9*Параметры!$B$10)+K26)*(1+Параметры!$B$2),Параметры!$B$4)-Параметры!$B$5))*(1+Параметры!$B$6),Параметры!$B$4)-Параметры!$B$5)</f>
        <v/>
      </c>
      <c r="N26" s="12"/>
      <c r="O26" s="7" t="str">
        <f aca="false">IF(OR(M26="",N26=""),"",IF(M26&lt;=N26,"не дороже рынка","дороже рынка"))</f>
        <v/>
      </c>
      <c r="P26" s="9" t="str">
        <f aca="false">IF(M26="","",M26*Параметры!$B$7)</f>
        <v/>
      </c>
      <c r="Q26" s="9" t="str">
        <f aca="false">IF(M26="","",M26*Параметры!$B$11)</f>
        <v/>
      </c>
      <c r="R26" s="9" t="str">
        <f aca="false">IF(M26="","",Параметры!$B$8)</f>
        <v/>
      </c>
      <c r="S26" s="9" t="str">
        <f aca="false">IF(I26="","",I26*Параметры!$B$9)</f>
        <v/>
      </c>
      <c r="T26" s="9" t="str">
        <f aca="false">IF(M26="","",Параметры!$B$19)</f>
        <v/>
      </c>
      <c r="U26" s="11" t="str">
        <f aca="false">IF(M26="","",M26-L26-P26-R26-S26-T26)</f>
        <v/>
      </c>
      <c r="V26" s="11" t="str">
        <f aca="false">IF(M26="","",M26-L26-Q26-R26-S26-T26-Параметры!$B$12)</f>
        <v/>
      </c>
      <c r="W26" s="13" t="str">
        <f aca="false">IF(U26="","",U26/M26)</f>
        <v/>
      </c>
      <c r="X26" s="14" t="s">
        <v>48</v>
      </c>
      <c r="Y26" s="12" t="n">
        <v>9990</v>
      </c>
    </row>
    <row r="27" customFormat="false" ht="15" hidden="false" customHeight="false" outlineLevel="0" collapsed="false">
      <c r="A27" s="6" t="s">
        <v>151</v>
      </c>
      <c r="B27" s="7" t="s">
        <v>152</v>
      </c>
      <c r="C27" s="7" t="s">
        <v>59</v>
      </c>
      <c r="D27" s="7" t="s">
        <v>153</v>
      </c>
      <c r="E27" s="7" t="s">
        <v>111</v>
      </c>
      <c r="F27" s="7" t="s">
        <v>45</v>
      </c>
      <c r="G27" s="8" t="s">
        <v>154</v>
      </c>
      <c r="H27" s="7" t="s">
        <v>155</v>
      </c>
      <c r="I27" s="9" t="str">
        <f aca="false">IF(SUMIFS(Состав!$R:$R,Состав!$A:$A,A27)=0,"",SUMIFS(Состав!$R:$R,Состав!$A:$A,A27))</f>
        <v/>
      </c>
      <c r="J27" s="10" t="n">
        <f aca="false">COUNTIFS(Состав!$A:$A,A27,Состав!$P:$P,"",Состав!$D:$D,"&gt;0")</f>
        <v>3</v>
      </c>
      <c r="K27" s="9" t="str">
        <f aca="false">IF(I27="","",Параметры!$B$3)</f>
        <v/>
      </c>
      <c r="L27" s="9" t="str">
        <f aca="false">IF(I27="","",I27+K27)</f>
        <v/>
      </c>
      <c r="M27" s="11" t="str">
        <f aca="false">IF(I27="","",CEILING((IF(Y27&lt;&gt;"",Y27,CEILING((I27*(1+Параметры!$B$9*Параметры!$B$10)+K27)*(1+Параметры!$B$2),Параметры!$B$4)-Параметры!$B$5))*(1+Параметры!$B$6),Параметры!$B$4)-Параметры!$B$5)</f>
        <v/>
      </c>
      <c r="N27" s="12"/>
      <c r="O27" s="7" t="str">
        <f aca="false">IF(OR(M27="",N27=""),"",IF(M27&lt;=N27,"не дороже рынка","дороже рынка"))</f>
        <v/>
      </c>
      <c r="P27" s="9" t="str">
        <f aca="false">IF(M27="","",M27*Параметры!$B$7)</f>
        <v/>
      </c>
      <c r="Q27" s="9" t="str">
        <f aca="false">IF(M27="","",M27*Параметры!$B$11)</f>
        <v/>
      </c>
      <c r="R27" s="9" t="str">
        <f aca="false">IF(M27="","",Параметры!$B$8)</f>
        <v/>
      </c>
      <c r="S27" s="9" t="str">
        <f aca="false">IF(I27="","",I27*Параметры!$B$9)</f>
        <v/>
      </c>
      <c r="T27" s="9" t="str">
        <f aca="false">IF(M27="","",Параметры!$B$19)</f>
        <v/>
      </c>
      <c r="U27" s="11" t="str">
        <f aca="false">IF(M27="","",M27-L27-P27-R27-S27-T27)</f>
        <v/>
      </c>
      <c r="V27" s="11" t="str">
        <f aca="false">IF(M27="","",M27-L27-Q27-R27-S27-T27-Параметры!$B$12)</f>
        <v/>
      </c>
      <c r="W27" s="13" t="str">
        <f aca="false">IF(U27="","",U27/M27)</f>
        <v/>
      </c>
      <c r="X27" s="14" t="s">
        <v>48</v>
      </c>
      <c r="Y27" s="12" t="n">
        <v>4990</v>
      </c>
    </row>
    <row r="28" customFormat="false" ht="15" hidden="false" customHeight="false" outlineLevel="0" collapsed="false">
      <c r="A28" s="6" t="s">
        <v>156</v>
      </c>
      <c r="B28" s="7" t="s">
        <v>152</v>
      </c>
      <c r="C28" s="7" t="s">
        <v>50</v>
      </c>
      <c r="D28" s="7" t="s">
        <v>153</v>
      </c>
      <c r="E28" s="7" t="s">
        <v>111</v>
      </c>
      <c r="F28" s="7" t="s">
        <v>45</v>
      </c>
      <c r="G28" s="8" t="s">
        <v>157</v>
      </c>
      <c r="H28" s="7" t="s">
        <v>158</v>
      </c>
      <c r="I28" s="9" t="str">
        <f aca="false">IF(SUMIFS(Состав!$R:$R,Состав!$A:$A,A28)=0,"",SUMIFS(Состав!$R:$R,Состав!$A:$A,A28))</f>
        <v/>
      </c>
      <c r="J28" s="10" t="n">
        <f aca="false">COUNTIFS(Состав!$A:$A,A28,Состав!$P:$P,"",Состав!$D:$D,"&gt;0")</f>
        <v>3</v>
      </c>
      <c r="K28" s="9" t="str">
        <f aca="false">IF(I28="","",Параметры!$B$3)</f>
        <v/>
      </c>
      <c r="L28" s="9" t="str">
        <f aca="false">IF(I28="","",I28+K28)</f>
        <v/>
      </c>
      <c r="M28" s="11" t="str">
        <f aca="false">IF(I28="","",CEILING((IF(Y28&lt;&gt;"",Y28,CEILING((I28*(1+Параметры!$B$9*Параметры!$B$10)+K28)*(1+Параметры!$B$2),Параметры!$B$4)-Параметры!$B$5))*(1+Параметры!$B$6),Параметры!$B$4)-Параметры!$B$5)</f>
        <v/>
      </c>
      <c r="N28" s="12"/>
      <c r="O28" s="7" t="str">
        <f aca="false">IF(OR(M28="",N28=""),"",IF(M28&lt;=N28,"не дороже рынка","дороже рынка"))</f>
        <v/>
      </c>
      <c r="P28" s="9" t="str">
        <f aca="false">IF(M28="","",M28*Параметры!$B$7)</f>
        <v/>
      </c>
      <c r="Q28" s="9" t="str">
        <f aca="false">IF(M28="","",M28*Параметры!$B$11)</f>
        <v/>
      </c>
      <c r="R28" s="9" t="str">
        <f aca="false">IF(M28="","",Параметры!$B$8)</f>
        <v/>
      </c>
      <c r="S28" s="9" t="str">
        <f aca="false">IF(I28="","",I28*Параметры!$B$9)</f>
        <v/>
      </c>
      <c r="T28" s="9" t="str">
        <f aca="false">IF(M28="","",Параметры!$B$19)</f>
        <v/>
      </c>
      <c r="U28" s="11" t="str">
        <f aca="false">IF(M28="","",M28-L28-P28-R28-S28-T28)</f>
        <v/>
      </c>
      <c r="V28" s="11" t="str">
        <f aca="false">IF(M28="","",M28-L28-Q28-R28-S28-T28-Параметры!$B$12)</f>
        <v/>
      </c>
      <c r="W28" s="13" t="str">
        <f aca="false">IF(U28="","",U28/M28)</f>
        <v/>
      </c>
      <c r="X28" s="14" t="s">
        <v>48</v>
      </c>
      <c r="Y28" s="12" t="n">
        <v>4990</v>
      </c>
    </row>
  </sheetData>
  <conditionalFormatting sqref="J2:J28">
    <cfRule type="cellIs" priority="2" operator="greaterThan" aboveAverage="0" equalAverage="0" bottom="0" percent="0" rank="0" text="" dxfId="0">
      <formula>0</formula>
    </cfRule>
  </conditionalFormatting>
  <conditionalFormatting sqref="O2:O28">
    <cfRule type="cellIs" priority="3" operator="equal" aboveAverage="0" equalAverage="0" bottom="0" percent="0" rank="0" text="" dxfId="1">
      <formula>"дороже рынка"</formula>
    </cfRule>
  </conditionalFormatting>
  <conditionalFormatting sqref="U2:U28">
    <cfRule type="cellIs" priority="4" operator="lessThan" aboveAverage="0" equalAverage="0" bottom="0" percent="0" rank="0" text="" dxfId="2">
      <formula>0</formula>
    </cfRule>
  </conditionalFormatting>
  <conditionalFormatting sqref="V2:V28">
    <cfRule type="cellIs" priority="5" operator="lessThan" aboveAverage="0" equalAverage="0" bottom="0" percent="0" rank="0" text="" dxfId="2">
      <formula>0</formula>
    </cfRule>
  </conditionalFormatting>
  <dataValidations count="1">
    <dataValidation allowBlank="true" errorStyle="stop" operator="between" showDropDown="false" showErrorMessage="false" showInputMessage="false" sqref="X2:X28" type="list">
      <formula1>"не выложен,выложен,есть продажи,снят"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30"/>
    <col collapsed="false" customWidth="true" hidden="false" outlineLevel="0" max="17" min="17" style="0" width="34"/>
    <col collapsed="false" customWidth="true" hidden="false" outlineLevel="0" max="18" min="18" style="0" width="12"/>
  </cols>
  <sheetData>
    <row r="1" customFormat="false" ht="43.5" hidden="false" customHeight="true" outlineLevel="0" collapsed="false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17</v>
      </c>
      <c r="G1" s="5" t="s">
        <v>164</v>
      </c>
      <c r="H1" s="5" t="s">
        <v>38</v>
      </c>
      <c r="I1" s="5" t="s">
        <v>165</v>
      </c>
      <c r="J1" s="5" t="s">
        <v>166</v>
      </c>
      <c r="K1" s="5" t="s">
        <v>167</v>
      </c>
      <c r="L1" s="5" t="s">
        <v>168</v>
      </c>
      <c r="M1" s="5" t="s">
        <v>169</v>
      </c>
      <c r="N1" s="5" t="s">
        <v>170</v>
      </c>
      <c r="O1" s="5" t="s">
        <v>171</v>
      </c>
      <c r="Q1" s="6" t="s">
        <v>172</v>
      </c>
    </row>
    <row r="2" customFormat="false" ht="15" hidden="false" customHeight="false" outlineLevel="0" collapsed="false">
      <c r="A2" s="15" t="s">
        <v>173</v>
      </c>
      <c r="B2" s="15" t="s">
        <v>174</v>
      </c>
      <c r="C2" s="15" t="s">
        <v>175</v>
      </c>
      <c r="D2" s="15" t="s">
        <v>176</v>
      </c>
      <c r="E2" s="15" t="s">
        <v>151</v>
      </c>
      <c r="F2" s="15" t="s">
        <v>177</v>
      </c>
      <c r="G2" s="15" t="s">
        <v>178</v>
      </c>
      <c r="H2" s="15" t="s">
        <v>179</v>
      </c>
      <c r="I2" s="15" t="n">
        <v>4</v>
      </c>
      <c r="J2" s="16" t="n">
        <v>5290</v>
      </c>
      <c r="K2" s="15" t="s">
        <v>180</v>
      </c>
      <c r="L2" s="15"/>
      <c r="M2" s="15" t="s">
        <v>181</v>
      </c>
      <c r="N2" s="15" t="s">
        <v>182</v>
      </c>
      <c r="O2" s="15" t="s">
        <v>183</v>
      </c>
      <c r="Q2" s="7" t="s">
        <v>184</v>
      </c>
      <c r="R2" s="6" t="n">
        <f aca="false">COUNTA(H3:H302)</f>
        <v>0</v>
      </c>
    </row>
    <row r="3" customFormat="false" ht="15" hidden="false" customHeight="false" outlineLevel="0" collapsed="false">
      <c r="A3" s="7" t="n">
        <v>1</v>
      </c>
      <c r="B3" s="14"/>
      <c r="C3" s="14"/>
      <c r="D3" s="14"/>
      <c r="E3" s="14"/>
      <c r="F3" s="14"/>
      <c r="G3" s="14"/>
      <c r="H3" s="14"/>
      <c r="I3" s="14"/>
      <c r="J3" s="12"/>
      <c r="K3" s="14"/>
      <c r="L3" s="14"/>
      <c r="M3" s="14"/>
      <c r="N3" s="17"/>
      <c r="O3" s="14"/>
      <c r="Q3" s="7" t="s">
        <v>185</v>
      </c>
      <c r="R3" s="7" t="n">
        <f aca="false">COUNTIF(H3:H302,"1. Новый")</f>
        <v>0</v>
      </c>
    </row>
    <row r="4" customFormat="false" ht="15" hidden="false" customHeight="false" outlineLevel="0" collapsed="false">
      <c r="A4" s="7" t="n">
        <v>2</v>
      </c>
      <c r="B4" s="14"/>
      <c r="C4" s="14"/>
      <c r="D4" s="14"/>
      <c r="E4" s="14"/>
      <c r="F4" s="14"/>
      <c r="G4" s="14"/>
      <c r="H4" s="14"/>
      <c r="I4" s="14"/>
      <c r="J4" s="12"/>
      <c r="K4" s="14"/>
      <c r="L4" s="14"/>
      <c r="M4" s="14"/>
      <c r="N4" s="17"/>
      <c r="O4" s="14"/>
      <c r="Q4" s="7" t="s">
        <v>186</v>
      </c>
      <c r="R4" s="7" t="n">
        <f aca="false">COUNTIF(H3:H302,"2. Ждём VIN")</f>
        <v>0</v>
      </c>
    </row>
    <row r="5" customFormat="false" ht="15" hidden="false" customHeight="false" outlineLevel="0" collapsed="false">
      <c r="A5" s="7" t="n">
        <v>3</v>
      </c>
      <c r="B5" s="14"/>
      <c r="C5" s="14"/>
      <c r="D5" s="14"/>
      <c r="E5" s="14"/>
      <c r="F5" s="14"/>
      <c r="G5" s="14"/>
      <c r="H5" s="14"/>
      <c r="I5" s="14"/>
      <c r="J5" s="12"/>
      <c r="K5" s="14"/>
      <c r="L5" s="14"/>
      <c r="M5" s="14"/>
      <c r="N5" s="17"/>
      <c r="O5" s="14"/>
      <c r="Q5" s="7" t="s">
        <v>187</v>
      </c>
      <c r="R5" s="7" t="n">
        <f aca="false">COUNTIF(H3:H302,"3. Подбор")</f>
        <v>0</v>
      </c>
    </row>
    <row r="6" customFormat="false" ht="15" hidden="false" customHeight="false" outlineLevel="0" collapsed="false">
      <c r="A6" s="7" t="n">
        <v>4</v>
      </c>
      <c r="B6" s="14"/>
      <c r="C6" s="14"/>
      <c r="D6" s="14"/>
      <c r="E6" s="14"/>
      <c r="F6" s="14"/>
      <c r="G6" s="14"/>
      <c r="H6" s="14"/>
      <c r="I6" s="14"/>
      <c r="J6" s="12"/>
      <c r="K6" s="14"/>
      <c r="L6" s="14"/>
      <c r="M6" s="14"/>
      <c r="N6" s="17"/>
      <c r="O6" s="14"/>
      <c r="Q6" s="7" t="s">
        <v>188</v>
      </c>
      <c r="R6" s="7" t="n">
        <f aca="false">COUNTIF(H3:H302,"4. Предложение")</f>
        <v>0</v>
      </c>
    </row>
    <row r="7" customFormat="false" ht="15" hidden="false" customHeight="false" outlineLevel="0" collapsed="false">
      <c r="A7" s="7" t="n">
        <v>5</v>
      </c>
      <c r="B7" s="14"/>
      <c r="C7" s="14"/>
      <c r="D7" s="14"/>
      <c r="E7" s="14"/>
      <c r="F7" s="14"/>
      <c r="G7" s="14"/>
      <c r="H7" s="14"/>
      <c r="I7" s="14"/>
      <c r="J7" s="12"/>
      <c r="K7" s="14"/>
      <c r="L7" s="14"/>
      <c r="M7" s="14"/>
      <c r="N7" s="17"/>
      <c r="O7" s="14"/>
      <c r="Q7" s="7" t="s">
        <v>189</v>
      </c>
      <c r="R7" s="7" t="n">
        <f aca="false">COUNTIF(H3:H302,"5. Думает")</f>
        <v>0</v>
      </c>
    </row>
    <row r="8" customFormat="false" ht="15" hidden="false" customHeight="false" outlineLevel="0" collapsed="false">
      <c r="A8" s="7" t="n">
        <v>6</v>
      </c>
      <c r="B8" s="14"/>
      <c r="C8" s="14"/>
      <c r="D8" s="14"/>
      <c r="E8" s="14"/>
      <c r="F8" s="14"/>
      <c r="G8" s="14"/>
      <c r="H8" s="14"/>
      <c r="I8" s="14"/>
      <c r="J8" s="12"/>
      <c r="K8" s="14"/>
      <c r="L8" s="14"/>
      <c r="M8" s="14"/>
      <c r="N8" s="17"/>
      <c r="O8" s="14"/>
      <c r="Q8" s="7" t="s">
        <v>190</v>
      </c>
      <c r="R8" s="7" t="n">
        <f aca="false">COUNTIF(H3:H302,"6. Ждём оплату")</f>
        <v>0</v>
      </c>
    </row>
    <row r="9" customFormat="false" ht="15" hidden="false" customHeight="false" outlineLevel="0" collapsed="false">
      <c r="A9" s="7" t="n">
        <v>7</v>
      </c>
      <c r="B9" s="14"/>
      <c r="C9" s="14"/>
      <c r="D9" s="14"/>
      <c r="E9" s="14"/>
      <c r="F9" s="14"/>
      <c r="G9" s="14"/>
      <c r="H9" s="14"/>
      <c r="I9" s="14"/>
      <c r="J9" s="12"/>
      <c r="K9" s="14"/>
      <c r="L9" s="14"/>
      <c r="M9" s="14"/>
      <c r="N9" s="17"/>
      <c r="O9" s="14"/>
      <c r="Q9" s="7" t="s">
        <v>179</v>
      </c>
      <c r="R9" s="7" t="n">
        <f aca="false">COUNTIF(H3:H302,"7. В обработке")</f>
        <v>0</v>
      </c>
    </row>
    <row r="10" customFormat="false" ht="15" hidden="false" customHeight="false" outlineLevel="0" collapsed="false">
      <c r="A10" s="7" t="n">
        <v>8</v>
      </c>
      <c r="B10" s="14"/>
      <c r="C10" s="14"/>
      <c r="D10" s="14"/>
      <c r="E10" s="14"/>
      <c r="F10" s="14"/>
      <c r="G10" s="14"/>
      <c r="H10" s="14"/>
      <c r="I10" s="14"/>
      <c r="J10" s="12"/>
      <c r="K10" s="14"/>
      <c r="L10" s="14"/>
      <c r="M10" s="14"/>
      <c r="N10" s="17"/>
      <c r="O10" s="14"/>
      <c r="Q10" s="7" t="s">
        <v>191</v>
      </c>
      <c r="R10" s="7" t="n">
        <f aca="false">COUNTIF(H3:H302,"Отказ")</f>
        <v>0</v>
      </c>
    </row>
    <row r="11" customFormat="false" ht="15" hidden="false" customHeight="false" outlineLevel="0" collapsed="false">
      <c r="A11" s="7" t="n">
        <v>9</v>
      </c>
      <c r="B11" s="14"/>
      <c r="C11" s="14"/>
      <c r="D11" s="14"/>
      <c r="E11" s="14"/>
      <c r="F11" s="14"/>
      <c r="G11" s="14"/>
      <c r="H11" s="14"/>
      <c r="I11" s="14"/>
      <c r="J11" s="12"/>
      <c r="K11" s="14"/>
      <c r="L11" s="14"/>
      <c r="M11" s="14"/>
      <c r="N11" s="17"/>
      <c r="O11" s="14"/>
      <c r="Q11" s="6" t="s">
        <v>192</v>
      </c>
      <c r="R11" s="18" t="str">
        <f aca="false">IF(R2=0,"",COUNTIF(H3:H302,"7. В обработке")/R2)</f>
        <v/>
      </c>
    </row>
    <row r="12" customFormat="false" ht="15" hidden="false" customHeight="false" outlineLevel="0" collapsed="false">
      <c r="A12" s="7" t="n">
        <v>10</v>
      </c>
      <c r="B12" s="14"/>
      <c r="C12" s="14"/>
      <c r="D12" s="14"/>
      <c r="E12" s="14"/>
      <c r="F12" s="14"/>
      <c r="G12" s="14"/>
      <c r="H12" s="14"/>
      <c r="I12" s="14"/>
      <c r="J12" s="12"/>
      <c r="K12" s="14"/>
      <c r="L12" s="14"/>
      <c r="M12" s="14"/>
      <c r="N12" s="17"/>
      <c r="O12" s="14"/>
      <c r="Q12" s="7" t="s">
        <v>193</v>
      </c>
      <c r="R12" s="19" t="str">
        <f aca="false">IFERROR(AVERAGE(I3:I302),"")</f>
        <v/>
      </c>
    </row>
    <row r="13" customFormat="false" ht="15" hidden="false" customHeight="false" outlineLevel="0" collapsed="false">
      <c r="A13" s="7" t="n">
        <v>11</v>
      </c>
      <c r="B13" s="14"/>
      <c r="C13" s="14"/>
      <c r="D13" s="14"/>
      <c r="E13" s="14"/>
      <c r="F13" s="14"/>
      <c r="G13" s="14"/>
      <c r="H13" s="14"/>
      <c r="I13" s="14"/>
      <c r="J13" s="12"/>
      <c r="K13" s="14"/>
      <c r="L13" s="14"/>
      <c r="M13" s="14"/>
      <c r="N13" s="17"/>
      <c r="O13" s="14"/>
      <c r="Q13" s="7" t="s">
        <v>194</v>
      </c>
      <c r="R13" s="9" t="n">
        <f aca="false">SUMIF(H3:H302,"7. В обработке",J3:J302)</f>
        <v>0</v>
      </c>
    </row>
    <row r="14" customFormat="false" ht="15" hidden="false" customHeight="false" outlineLevel="0" collapsed="false">
      <c r="A14" s="7" t="n">
        <v>12</v>
      </c>
      <c r="B14" s="14"/>
      <c r="C14" s="14"/>
      <c r="D14" s="14"/>
      <c r="E14" s="14"/>
      <c r="F14" s="14"/>
      <c r="G14" s="14"/>
      <c r="H14" s="14"/>
      <c r="I14" s="14"/>
      <c r="J14" s="12"/>
      <c r="K14" s="14"/>
      <c r="L14" s="14"/>
      <c r="M14" s="14"/>
      <c r="N14" s="17"/>
      <c r="O14" s="14"/>
    </row>
    <row r="15" customFormat="false" ht="15" hidden="false" customHeight="false" outlineLevel="0" collapsed="false">
      <c r="A15" s="7" t="n">
        <v>13</v>
      </c>
      <c r="B15" s="14"/>
      <c r="C15" s="14"/>
      <c r="D15" s="14"/>
      <c r="E15" s="14"/>
      <c r="F15" s="14"/>
      <c r="G15" s="14"/>
      <c r="H15" s="14"/>
      <c r="I15" s="14"/>
      <c r="J15" s="12"/>
      <c r="K15" s="14"/>
      <c r="L15" s="14"/>
      <c r="M15" s="14"/>
      <c r="N15" s="17"/>
      <c r="O15" s="14"/>
      <c r="Q15" s="6" t="s">
        <v>195</v>
      </c>
    </row>
    <row r="16" customFormat="false" ht="15" hidden="false" customHeight="false" outlineLevel="0" collapsed="false">
      <c r="A16" s="7" t="n">
        <v>14</v>
      </c>
      <c r="B16" s="14"/>
      <c r="C16" s="14"/>
      <c r="D16" s="14"/>
      <c r="E16" s="14"/>
      <c r="F16" s="14"/>
      <c r="G16" s="14"/>
      <c r="H16" s="14"/>
      <c r="I16" s="14"/>
      <c r="J16" s="12"/>
      <c r="K16" s="14"/>
      <c r="L16" s="14"/>
      <c r="M16" s="14"/>
      <c r="N16" s="17"/>
      <c r="O16" s="14"/>
      <c r="Q16" s="7" t="s">
        <v>196</v>
      </c>
      <c r="R16" s="7" t="n">
        <f aca="false">COUNTIF(L3:L302,"не ответил")</f>
        <v>0</v>
      </c>
    </row>
    <row r="17" customFormat="false" ht="15" hidden="false" customHeight="false" outlineLevel="0" collapsed="false">
      <c r="A17" s="7" t="n">
        <v>15</v>
      </c>
      <c r="B17" s="14"/>
      <c r="C17" s="14"/>
      <c r="D17" s="14"/>
      <c r="E17" s="14"/>
      <c r="F17" s="14"/>
      <c r="G17" s="14"/>
      <c r="H17" s="14"/>
      <c r="I17" s="14"/>
      <c r="J17" s="12"/>
      <c r="K17" s="14"/>
      <c r="L17" s="14"/>
      <c r="M17" s="14"/>
      <c r="N17" s="17"/>
      <c r="O17" s="14"/>
      <c r="Q17" s="7" t="s">
        <v>197</v>
      </c>
      <c r="R17" s="7" t="n">
        <f aca="false">COUNTIF(L3:L302,"дорого")</f>
        <v>0</v>
      </c>
    </row>
    <row r="18" customFormat="false" ht="15" hidden="false" customHeight="false" outlineLevel="0" collapsed="false">
      <c r="A18" s="7" t="n">
        <v>16</v>
      </c>
      <c r="B18" s="14"/>
      <c r="C18" s="14"/>
      <c r="D18" s="14"/>
      <c r="E18" s="14"/>
      <c r="F18" s="14"/>
      <c r="G18" s="14"/>
      <c r="H18" s="14"/>
      <c r="I18" s="14"/>
      <c r="J18" s="12"/>
      <c r="K18" s="14"/>
      <c r="L18" s="14"/>
      <c r="M18" s="14"/>
      <c r="N18" s="17"/>
      <c r="O18" s="14"/>
      <c r="Q18" s="7" t="s">
        <v>198</v>
      </c>
      <c r="R18" s="7" t="n">
        <f aca="false">COUNTIF(L3:L302,"не подошло")</f>
        <v>0</v>
      </c>
    </row>
    <row r="19" customFormat="false" ht="15" hidden="false" customHeight="false" outlineLevel="0" collapsed="false">
      <c r="A19" s="7" t="n">
        <v>17</v>
      </c>
      <c r="B19" s="14"/>
      <c r="C19" s="14"/>
      <c r="D19" s="14"/>
      <c r="E19" s="14"/>
      <c r="F19" s="14"/>
      <c r="G19" s="14"/>
      <c r="H19" s="14"/>
      <c r="I19" s="14"/>
      <c r="J19" s="12"/>
      <c r="K19" s="14"/>
      <c r="L19" s="14"/>
      <c r="M19" s="14"/>
      <c r="N19" s="17"/>
      <c r="O19" s="14"/>
      <c r="Q19" s="7" t="s">
        <v>199</v>
      </c>
      <c r="R19" s="7" t="n">
        <f aca="false">COUNTIF(L3:L302,"нет в наличии")</f>
        <v>0</v>
      </c>
    </row>
    <row r="20" customFormat="false" ht="15" hidden="false" customHeight="false" outlineLevel="0" collapsed="false">
      <c r="A20" s="7" t="n">
        <v>18</v>
      </c>
      <c r="B20" s="14"/>
      <c r="C20" s="14"/>
      <c r="D20" s="14"/>
      <c r="E20" s="14"/>
      <c r="F20" s="14"/>
      <c r="G20" s="14"/>
      <c r="H20" s="14"/>
      <c r="I20" s="14"/>
      <c r="J20" s="12"/>
      <c r="K20" s="14"/>
      <c r="L20" s="14"/>
      <c r="M20" s="14"/>
      <c r="N20" s="17"/>
      <c r="O20" s="14"/>
      <c r="Q20" s="7" t="s">
        <v>200</v>
      </c>
      <c r="R20" s="7" t="n">
        <f aca="false">COUNTIF(L3:L302,"долго ждать")</f>
        <v>0</v>
      </c>
    </row>
    <row r="21" customFormat="false" ht="15" hidden="false" customHeight="false" outlineLevel="0" collapsed="false">
      <c r="A21" s="7" t="n">
        <v>19</v>
      </c>
      <c r="B21" s="14"/>
      <c r="C21" s="14"/>
      <c r="D21" s="14"/>
      <c r="E21" s="14"/>
      <c r="F21" s="14"/>
      <c r="G21" s="14"/>
      <c r="H21" s="14"/>
      <c r="I21" s="14"/>
      <c r="J21" s="12"/>
      <c r="K21" s="14"/>
      <c r="L21" s="14"/>
      <c r="M21" s="14"/>
      <c r="N21" s="17"/>
      <c r="O21" s="14"/>
      <c r="Q21" s="7" t="s">
        <v>201</v>
      </c>
      <c r="R21" s="7" t="n">
        <f aca="false">COUNTIF(L3:L302,"купил в другом месте")</f>
        <v>0</v>
      </c>
    </row>
    <row r="22" customFormat="false" ht="15" hidden="false" customHeight="false" outlineLevel="0" collapsed="false">
      <c r="A22" s="7" t="n">
        <v>20</v>
      </c>
      <c r="B22" s="14"/>
      <c r="C22" s="14"/>
      <c r="D22" s="14"/>
      <c r="E22" s="14"/>
      <c r="F22" s="14"/>
      <c r="G22" s="14"/>
      <c r="H22" s="14"/>
      <c r="I22" s="14"/>
      <c r="J22" s="12"/>
      <c r="K22" s="14"/>
      <c r="L22" s="14"/>
      <c r="M22" s="14"/>
      <c r="N22" s="17"/>
      <c r="O22" s="14"/>
      <c r="Q22" s="7" t="s">
        <v>202</v>
      </c>
      <c r="R22" s="7" t="n">
        <f aca="false">COUNTIF(L3:L302,"мы отказали")</f>
        <v>0</v>
      </c>
    </row>
    <row r="23" customFormat="false" ht="15" hidden="false" customHeight="false" outlineLevel="0" collapsed="false">
      <c r="A23" s="7" t="n">
        <v>21</v>
      </c>
      <c r="B23" s="14"/>
      <c r="C23" s="14"/>
      <c r="D23" s="14"/>
      <c r="E23" s="14"/>
      <c r="F23" s="14"/>
      <c r="G23" s="14"/>
      <c r="H23" s="14"/>
      <c r="I23" s="14"/>
      <c r="J23" s="12"/>
      <c r="K23" s="14"/>
      <c r="L23" s="14"/>
      <c r="M23" s="14"/>
      <c r="N23" s="17"/>
      <c r="O23" s="14"/>
      <c r="Q23" s="7" t="s">
        <v>203</v>
      </c>
      <c r="R23" s="7" t="n">
        <f aca="false">COUNTIF(L3:L302,"другое")</f>
        <v>0</v>
      </c>
    </row>
    <row r="24" customFormat="false" ht="15" hidden="false" customHeight="false" outlineLevel="0" collapsed="false">
      <c r="A24" s="7" t="n">
        <v>22</v>
      </c>
      <c r="B24" s="14"/>
      <c r="C24" s="14"/>
      <c r="D24" s="14"/>
      <c r="E24" s="14"/>
      <c r="F24" s="14"/>
      <c r="G24" s="14"/>
      <c r="H24" s="14"/>
      <c r="I24" s="14"/>
      <c r="J24" s="12"/>
      <c r="K24" s="14"/>
      <c r="L24" s="14"/>
      <c r="M24" s="14"/>
      <c r="N24" s="17"/>
      <c r="O24" s="14"/>
      <c r="Q24" s="6" t="s">
        <v>204</v>
      </c>
      <c r="R24" s="6" t="str">
        <f aca="false">IF(SUM(R16:R23)=0,"",INDEX(Q16:Q23,MATCH(MAX(R16:R23),R16:R23,0)))</f>
        <v/>
      </c>
    </row>
    <row r="25" customFormat="false" ht="15" hidden="false" customHeight="false" outlineLevel="0" collapsed="false">
      <c r="A25" s="7" t="n">
        <v>23</v>
      </c>
      <c r="B25" s="14"/>
      <c r="C25" s="14"/>
      <c r="D25" s="14"/>
      <c r="E25" s="14"/>
      <c r="F25" s="14"/>
      <c r="G25" s="14"/>
      <c r="H25" s="14"/>
      <c r="I25" s="14"/>
      <c r="J25" s="12"/>
      <c r="K25" s="14"/>
      <c r="L25" s="14"/>
      <c r="M25" s="14"/>
      <c r="N25" s="17"/>
      <c r="O25" s="14"/>
    </row>
    <row r="26" customFormat="false" ht="15" hidden="false" customHeight="false" outlineLevel="0" collapsed="false">
      <c r="A26" s="7" t="n">
        <v>24</v>
      </c>
      <c r="B26" s="14"/>
      <c r="C26" s="14"/>
      <c r="D26" s="14"/>
      <c r="E26" s="14"/>
      <c r="F26" s="14"/>
      <c r="G26" s="14"/>
      <c r="H26" s="14"/>
      <c r="I26" s="14"/>
      <c r="J26" s="12"/>
      <c r="K26" s="14"/>
      <c r="L26" s="14"/>
      <c r="M26" s="14"/>
      <c r="N26" s="17"/>
      <c r="O26" s="14"/>
    </row>
    <row r="27" customFormat="false" ht="15" hidden="false" customHeight="false" outlineLevel="0" collapsed="false">
      <c r="A27" s="7" t="n">
        <v>25</v>
      </c>
      <c r="B27" s="14"/>
      <c r="C27" s="14"/>
      <c r="D27" s="14"/>
      <c r="E27" s="14"/>
      <c r="F27" s="14"/>
      <c r="G27" s="14"/>
      <c r="H27" s="14"/>
      <c r="I27" s="14"/>
      <c r="J27" s="12"/>
      <c r="K27" s="14"/>
      <c r="L27" s="14"/>
      <c r="M27" s="14"/>
      <c r="N27" s="17"/>
      <c r="O27" s="14"/>
    </row>
    <row r="28" customFormat="false" ht="15" hidden="false" customHeight="false" outlineLevel="0" collapsed="false">
      <c r="A28" s="7" t="n">
        <v>26</v>
      </c>
      <c r="B28" s="14"/>
      <c r="C28" s="14"/>
      <c r="D28" s="14"/>
      <c r="E28" s="14"/>
      <c r="F28" s="14"/>
      <c r="G28" s="14"/>
      <c r="H28" s="14"/>
      <c r="I28" s="14"/>
      <c r="J28" s="12"/>
      <c r="K28" s="14"/>
      <c r="L28" s="14"/>
      <c r="M28" s="14"/>
      <c r="N28" s="17"/>
      <c r="O28" s="14"/>
    </row>
    <row r="29" customFormat="false" ht="15" hidden="false" customHeight="false" outlineLevel="0" collapsed="false">
      <c r="A29" s="7" t="n">
        <v>27</v>
      </c>
      <c r="B29" s="14"/>
      <c r="C29" s="14"/>
      <c r="D29" s="14"/>
      <c r="E29" s="14"/>
      <c r="F29" s="14"/>
      <c r="G29" s="14"/>
      <c r="H29" s="14"/>
      <c r="I29" s="14"/>
      <c r="J29" s="12"/>
      <c r="K29" s="14"/>
      <c r="L29" s="14"/>
      <c r="M29" s="14"/>
      <c r="N29" s="17"/>
      <c r="O29" s="14"/>
    </row>
    <row r="30" customFormat="false" ht="15" hidden="false" customHeight="false" outlineLevel="0" collapsed="false">
      <c r="A30" s="7" t="n">
        <v>28</v>
      </c>
      <c r="B30" s="14"/>
      <c r="C30" s="14"/>
      <c r="D30" s="14"/>
      <c r="E30" s="14"/>
      <c r="F30" s="14"/>
      <c r="G30" s="14"/>
      <c r="H30" s="14"/>
      <c r="I30" s="14"/>
      <c r="J30" s="12"/>
      <c r="K30" s="14"/>
      <c r="L30" s="14"/>
      <c r="M30" s="14"/>
      <c r="N30" s="17"/>
      <c r="O30" s="14"/>
    </row>
    <row r="31" customFormat="false" ht="15" hidden="false" customHeight="false" outlineLevel="0" collapsed="false">
      <c r="A31" s="7" t="n">
        <v>29</v>
      </c>
      <c r="B31" s="14"/>
      <c r="C31" s="14"/>
      <c r="D31" s="14"/>
      <c r="E31" s="14"/>
      <c r="F31" s="14"/>
      <c r="G31" s="14"/>
      <c r="H31" s="14"/>
      <c r="I31" s="14"/>
      <c r="J31" s="12"/>
      <c r="K31" s="14"/>
      <c r="L31" s="14"/>
      <c r="M31" s="14"/>
      <c r="N31" s="17"/>
      <c r="O31" s="14"/>
    </row>
    <row r="32" customFormat="false" ht="15" hidden="false" customHeight="false" outlineLevel="0" collapsed="false">
      <c r="A32" s="7" t="n">
        <v>30</v>
      </c>
      <c r="B32" s="14"/>
      <c r="C32" s="14"/>
      <c r="D32" s="14"/>
      <c r="E32" s="14"/>
      <c r="F32" s="14"/>
      <c r="G32" s="14"/>
      <c r="H32" s="14"/>
      <c r="I32" s="14"/>
      <c r="J32" s="12"/>
      <c r="K32" s="14"/>
      <c r="L32" s="14"/>
      <c r="M32" s="14"/>
      <c r="N32" s="17"/>
      <c r="O32" s="14"/>
    </row>
    <row r="33" customFormat="false" ht="15" hidden="false" customHeight="false" outlineLevel="0" collapsed="false">
      <c r="A33" s="7" t="n">
        <v>31</v>
      </c>
      <c r="B33" s="14"/>
      <c r="C33" s="14"/>
      <c r="D33" s="14"/>
      <c r="E33" s="14"/>
      <c r="F33" s="14"/>
      <c r="G33" s="14"/>
      <c r="H33" s="14"/>
      <c r="I33" s="14"/>
      <c r="J33" s="12"/>
      <c r="K33" s="14"/>
      <c r="L33" s="14"/>
      <c r="M33" s="14"/>
      <c r="N33" s="17"/>
      <c r="O33" s="14"/>
    </row>
    <row r="34" customFormat="false" ht="15" hidden="false" customHeight="false" outlineLevel="0" collapsed="false">
      <c r="A34" s="7" t="n">
        <v>32</v>
      </c>
      <c r="B34" s="14"/>
      <c r="C34" s="14"/>
      <c r="D34" s="14"/>
      <c r="E34" s="14"/>
      <c r="F34" s="14"/>
      <c r="G34" s="14"/>
      <c r="H34" s="14"/>
      <c r="I34" s="14"/>
      <c r="J34" s="12"/>
      <c r="K34" s="14"/>
      <c r="L34" s="14"/>
      <c r="M34" s="14"/>
      <c r="N34" s="17"/>
      <c r="O34" s="14"/>
    </row>
    <row r="35" customFormat="false" ht="15" hidden="false" customHeight="false" outlineLevel="0" collapsed="false">
      <c r="A35" s="7" t="n">
        <v>33</v>
      </c>
      <c r="B35" s="14"/>
      <c r="C35" s="14"/>
      <c r="D35" s="14"/>
      <c r="E35" s="14"/>
      <c r="F35" s="14"/>
      <c r="G35" s="14"/>
      <c r="H35" s="14"/>
      <c r="I35" s="14"/>
      <c r="J35" s="12"/>
      <c r="K35" s="14"/>
      <c r="L35" s="14"/>
      <c r="M35" s="14"/>
      <c r="N35" s="17"/>
      <c r="O35" s="14"/>
    </row>
    <row r="36" customFormat="false" ht="15" hidden="false" customHeight="false" outlineLevel="0" collapsed="false">
      <c r="A36" s="7" t="n">
        <v>34</v>
      </c>
      <c r="B36" s="14"/>
      <c r="C36" s="14"/>
      <c r="D36" s="14"/>
      <c r="E36" s="14"/>
      <c r="F36" s="14"/>
      <c r="G36" s="14"/>
      <c r="H36" s="14"/>
      <c r="I36" s="14"/>
      <c r="J36" s="12"/>
      <c r="K36" s="14"/>
      <c r="L36" s="14"/>
      <c r="M36" s="14"/>
      <c r="N36" s="17"/>
      <c r="O36" s="14"/>
    </row>
    <row r="37" customFormat="false" ht="15" hidden="false" customHeight="false" outlineLevel="0" collapsed="false">
      <c r="A37" s="7" t="n">
        <v>35</v>
      </c>
      <c r="B37" s="14"/>
      <c r="C37" s="14"/>
      <c r="D37" s="14"/>
      <c r="E37" s="14"/>
      <c r="F37" s="14"/>
      <c r="G37" s="14"/>
      <c r="H37" s="14"/>
      <c r="I37" s="14"/>
      <c r="J37" s="12"/>
      <c r="K37" s="14"/>
      <c r="L37" s="14"/>
      <c r="M37" s="14"/>
      <c r="N37" s="17"/>
      <c r="O37" s="14"/>
    </row>
    <row r="38" customFormat="false" ht="15" hidden="false" customHeight="false" outlineLevel="0" collapsed="false">
      <c r="A38" s="7" t="n">
        <v>36</v>
      </c>
      <c r="B38" s="14"/>
      <c r="C38" s="14"/>
      <c r="D38" s="14"/>
      <c r="E38" s="14"/>
      <c r="F38" s="14"/>
      <c r="G38" s="14"/>
      <c r="H38" s="14"/>
      <c r="I38" s="14"/>
      <c r="J38" s="12"/>
      <c r="K38" s="14"/>
      <c r="L38" s="14"/>
      <c r="M38" s="14"/>
      <c r="N38" s="17"/>
      <c r="O38" s="14"/>
    </row>
    <row r="39" customFormat="false" ht="15" hidden="false" customHeight="false" outlineLevel="0" collapsed="false">
      <c r="A39" s="7" t="n">
        <v>37</v>
      </c>
      <c r="B39" s="14"/>
      <c r="C39" s="14"/>
      <c r="D39" s="14"/>
      <c r="E39" s="14"/>
      <c r="F39" s="14"/>
      <c r="G39" s="14"/>
      <c r="H39" s="14"/>
      <c r="I39" s="14"/>
      <c r="J39" s="12"/>
      <c r="K39" s="14"/>
      <c r="L39" s="14"/>
      <c r="M39" s="14"/>
      <c r="N39" s="17"/>
      <c r="O39" s="14"/>
    </row>
    <row r="40" customFormat="false" ht="15" hidden="false" customHeight="false" outlineLevel="0" collapsed="false">
      <c r="A40" s="7" t="n">
        <v>38</v>
      </c>
      <c r="B40" s="14"/>
      <c r="C40" s="14"/>
      <c r="D40" s="14"/>
      <c r="E40" s="14"/>
      <c r="F40" s="14"/>
      <c r="G40" s="14"/>
      <c r="H40" s="14"/>
      <c r="I40" s="14"/>
      <c r="J40" s="12"/>
      <c r="K40" s="14"/>
      <c r="L40" s="14"/>
      <c r="M40" s="14"/>
      <c r="N40" s="17"/>
      <c r="O40" s="14"/>
    </row>
    <row r="41" customFormat="false" ht="15" hidden="false" customHeight="false" outlineLevel="0" collapsed="false">
      <c r="A41" s="7" t="n">
        <v>39</v>
      </c>
      <c r="B41" s="14"/>
      <c r="C41" s="14"/>
      <c r="D41" s="14"/>
      <c r="E41" s="14"/>
      <c r="F41" s="14"/>
      <c r="G41" s="14"/>
      <c r="H41" s="14"/>
      <c r="I41" s="14"/>
      <c r="J41" s="12"/>
      <c r="K41" s="14"/>
      <c r="L41" s="14"/>
      <c r="M41" s="14"/>
      <c r="N41" s="17"/>
      <c r="O41" s="14"/>
    </row>
    <row r="42" customFormat="false" ht="15" hidden="false" customHeight="false" outlineLevel="0" collapsed="false">
      <c r="A42" s="7" t="n">
        <v>40</v>
      </c>
      <c r="B42" s="14"/>
      <c r="C42" s="14"/>
      <c r="D42" s="14"/>
      <c r="E42" s="14"/>
      <c r="F42" s="14"/>
      <c r="G42" s="14"/>
      <c r="H42" s="14"/>
      <c r="I42" s="14"/>
      <c r="J42" s="12"/>
      <c r="K42" s="14"/>
      <c r="L42" s="14"/>
      <c r="M42" s="14"/>
      <c r="N42" s="17"/>
      <c r="O42" s="14"/>
    </row>
    <row r="43" customFormat="false" ht="15" hidden="false" customHeight="false" outlineLevel="0" collapsed="false">
      <c r="A43" s="7" t="n">
        <v>41</v>
      </c>
      <c r="B43" s="14"/>
      <c r="C43" s="14"/>
      <c r="D43" s="14"/>
      <c r="E43" s="14"/>
      <c r="F43" s="14"/>
      <c r="G43" s="14"/>
      <c r="H43" s="14"/>
      <c r="I43" s="14"/>
      <c r="J43" s="12"/>
      <c r="K43" s="14"/>
      <c r="L43" s="14"/>
      <c r="M43" s="14"/>
      <c r="N43" s="17"/>
      <c r="O43" s="14"/>
    </row>
    <row r="44" customFormat="false" ht="15" hidden="false" customHeight="false" outlineLevel="0" collapsed="false">
      <c r="A44" s="7" t="n">
        <v>42</v>
      </c>
      <c r="B44" s="14"/>
      <c r="C44" s="14"/>
      <c r="D44" s="14"/>
      <c r="E44" s="14"/>
      <c r="F44" s="14"/>
      <c r="G44" s="14"/>
      <c r="H44" s="14"/>
      <c r="I44" s="14"/>
      <c r="J44" s="12"/>
      <c r="K44" s="14"/>
      <c r="L44" s="14"/>
      <c r="M44" s="14"/>
      <c r="N44" s="17"/>
      <c r="O44" s="14"/>
    </row>
    <row r="45" customFormat="false" ht="15" hidden="false" customHeight="false" outlineLevel="0" collapsed="false">
      <c r="A45" s="7" t="n">
        <v>43</v>
      </c>
      <c r="B45" s="14"/>
      <c r="C45" s="14"/>
      <c r="D45" s="14"/>
      <c r="E45" s="14"/>
      <c r="F45" s="14"/>
      <c r="G45" s="14"/>
      <c r="H45" s="14"/>
      <c r="I45" s="14"/>
      <c r="J45" s="12"/>
      <c r="K45" s="14"/>
      <c r="L45" s="14"/>
      <c r="M45" s="14"/>
      <c r="N45" s="17"/>
      <c r="O45" s="14"/>
    </row>
    <row r="46" customFormat="false" ht="15" hidden="false" customHeight="false" outlineLevel="0" collapsed="false">
      <c r="A46" s="7" t="n">
        <v>44</v>
      </c>
      <c r="B46" s="14"/>
      <c r="C46" s="14"/>
      <c r="D46" s="14"/>
      <c r="E46" s="14"/>
      <c r="F46" s="14"/>
      <c r="G46" s="14"/>
      <c r="H46" s="14"/>
      <c r="I46" s="14"/>
      <c r="J46" s="12"/>
      <c r="K46" s="14"/>
      <c r="L46" s="14"/>
      <c r="M46" s="14"/>
      <c r="N46" s="17"/>
      <c r="O46" s="14"/>
    </row>
    <row r="47" customFormat="false" ht="15" hidden="false" customHeight="false" outlineLevel="0" collapsed="false">
      <c r="A47" s="7" t="n">
        <v>45</v>
      </c>
      <c r="B47" s="14"/>
      <c r="C47" s="14"/>
      <c r="D47" s="14"/>
      <c r="E47" s="14"/>
      <c r="F47" s="14"/>
      <c r="G47" s="14"/>
      <c r="H47" s="14"/>
      <c r="I47" s="14"/>
      <c r="J47" s="12"/>
      <c r="K47" s="14"/>
      <c r="L47" s="14"/>
      <c r="M47" s="14"/>
      <c r="N47" s="17"/>
      <c r="O47" s="14"/>
    </row>
    <row r="48" customFormat="false" ht="15" hidden="false" customHeight="false" outlineLevel="0" collapsed="false">
      <c r="A48" s="7" t="n">
        <v>46</v>
      </c>
      <c r="B48" s="14"/>
      <c r="C48" s="14"/>
      <c r="D48" s="14"/>
      <c r="E48" s="14"/>
      <c r="F48" s="14"/>
      <c r="G48" s="14"/>
      <c r="H48" s="14"/>
      <c r="I48" s="14"/>
      <c r="J48" s="12"/>
      <c r="K48" s="14"/>
      <c r="L48" s="14"/>
      <c r="M48" s="14"/>
      <c r="N48" s="17"/>
      <c r="O48" s="14"/>
    </row>
    <row r="49" customFormat="false" ht="15" hidden="false" customHeight="false" outlineLevel="0" collapsed="false">
      <c r="A49" s="7" t="n">
        <v>47</v>
      </c>
      <c r="B49" s="14"/>
      <c r="C49" s="14"/>
      <c r="D49" s="14"/>
      <c r="E49" s="14"/>
      <c r="F49" s="14"/>
      <c r="G49" s="14"/>
      <c r="H49" s="14"/>
      <c r="I49" s="14"/>
      <c r="J49" s="12"/>
      <c r="K49" s="14"/>
      <c r="L49" s="14"/>
      <c r="M49" s="14"/>
      <c r="N49" s="17"/>
      <c r="O49" s="14"/>
    </row>
    <row r="50" customFormat="false" ht="15" hidden="false" customHeight="false" outlineLevel="0" collapsed="false">
      <c r="A50" s="7" t="n">
        <v>48</v>
      </c>
      <c r="B50" s="14"/>
      <c r="C50" s="14"/>
      <c r="D50" s="14"/>
      <c r="E50" s="14"/>
      <c r="F50" s="14"/>
      <c r="G50" s="14"/>
      <c r="H50" s="14"/>
      <c r="I50" s="14"/>
      <c r="J50" s="12"/>
      <c r="K50" s="14"/>
      <c r="L50" s="14"/>
      <c r="M50" s="14"/>
      <c r="N50" s="17"/>
      <c r="O50" s="14"/>
    </row>
    <row r="51" customFormat="false" ht="15" hidden="false" customHeight="false" outlineLevel="0" collapsed="false">
      <c r="A51" s="7" t="n">
        <v>49</v>
      </c>
      <c r="B51" s="14"/>
      <c r="C51" s="14"/>
      <c r="D51" s="14"/>
      <c r="E51" s="14"/>
      <c r="F51" s="14"/>
      <c r="G51" s="14"/>
      <c r="H51" s="14"/>
      <c r="I51" s="14"/>
      <c r="J51" s="12"/>
      <c r="K51" s="14"/>
      <c r="L51" s="14"/>
      <c r="M51" s="14"/>
      <c r="N51" s="17"/>
      <c r="O51" s="14"/>
    </row>
    <row r="52" customFormat="false" ht="15" hidden="false" customHeight="false" outlineLevel="0" collapsed="false">
      <c r="A52" s="7" t="n">
        <v>50</v>
      </c>
      <c r="B52" s="14"/>
      <c r="C52" s="14"/>
      <c r="D52" s="14"/>
      <c r="E52" s="14"/>
      <c r="F52" s="14"/>
      <c r="G52" s="14"/>
      <c r="H52" s="14"/>
      <c r="I52" s="14"/>
      <c r="J52" s="12"/>
      <c r="K52" s="14"/>
      <c r="L52" s="14"/>
      <c r="M52" s="14"/>
      <c r="N52" s="17"/>
      <c r="O52" s="14"/>
    </row>
    <row r="53" customFormat="false" ht="15" hidden="false" customHeight="false" outlineLevel="0" collapsed="false">
      <c r="A53" s="7" t="n">
        <v>51</v>
      </c>
      <c r="B53" s="14"/>
      <c r="C53" s="14"/>
      <c r="D53" s="14"/>
      <c r="E53" s="14"/>
      <c r="F53" s="14"/>
      <c r="G53" s="14"/>
      <c r="H53" s="14"/>
      <c r="I53" s="14"/>
      <c r="J53" s="12"/>
      <c r="K53" s="14"/>
      <c r="L53" s="14"/>
      <c r="M53" s="14"/>
      <c r="N53" s="17"/>
      <c r="O53" s="14"/>
    </row>
    <row r="54" customFormat="false" ht="15" hidden="false" customHeight="false" outlineLevel="0" collapsed="false">
      <c r="A54" s="7" t="n">
        <v>52</v>
      </c>
      <c r="B54" s="14"/>
      <c r="C54" s="14"/>
      <c r="D54" s="14"/>
      <c r="E54" s="14"/>
      <c r="F54" s="14"/>
      <c r="G54" s="14"/>
      <c r="H54" s="14"/>
      <c r="I54" s="14"/>
      <c r="J54" s="12"/>
      <c r="K54" s="14"/>
      <c r="L54" s="14"/>
      <c r="M54" s="14"/>
      <c r="N54" s="17"/>
      <c r="O54" s="14"/>
    </row>
    <row r="55" customFormat="false" ht="15" hidden="false" customHeight="false" outlineLevel="0" collapsed="false">
      <c r="A55" s="7" t="n">
        <v>53</v>
      </c>
      <c r="B55" s="14"/>
      <c r="C55" s="14"/>
      <c r="D55" s="14"/>
      <c r="E55" s="14"/>
      <c r="F55" s="14"/>
      <c r="G55" s="14"/>
      <c r="H55" s="14"/>
      <c r="I55" s="14"/>
      <c r="J55" s="12"/>
      <c r="K55" s="14"/>
      <c r="L55" s="14"/>
      <c r="M55" s="14"/>
      <c r="N55" s="17"/>
      <c r="O55" s="14"/>
    </row>
    <row r="56" customFormat="false" ht="15" hidden="false" customHeight="false" outlineLevel="0" collapsed="false">
      <c r="A56" s="7" t="n">
        <v>54</v>
      </c>
      <c r="B56" s="14"/>
      <c r="C56" s="14"/>
      <c r="D56" s="14"/>
      <c r="E56" s="14"/>
      <c r="F56" s="14"/>
      <c r="G56" s="14"/>
      <c r="H56" s="14"/>
      <c r="I56" s="14"/>
      <c r="J56" s="12"/>
      <c r="K56" s="14"/>
      <c r="L56" s="14"/>
      <c r="M56" s="14"/>
      <c r="N56" s="17"/>
      <c r="O56" s="14"/>
    </row>
    <row r="57" customFormat="false" ht="15" hidden="false" customHeight="false" outlineLevel="0" collapsed="false">
      <c r="A57" s="7" t="n">
        <v>55</v>
      </c>
      <c r="B57" s="14"/>
      <c r="C57" s="14"/>
      <c r="D57" s="14"/>
      <c r="E57" s="14"/>
      <c r="F57" s="14"/>
      <c r="G57" s="14"/>
      <c r="H57" s="14"/>
      <c r="I57" s="14"/>
      <c r="J57" s="12"/>
      <c r="K57" s="14"/>
      <c r="L57" s="14"/>
      <c r="M57" s="14"/>
      <c r="N57" s="17"/>
      <c r="O57" s="14"/>
    </row>
    <row r="58" customFormat="false" ht="15" hidden="false" customHeight="false" outlineLevel="0" collapsed="false">
      <c r="A58" s="7" t="n">
        <v>56</v>
      </c>
      <c r="B58" s="14"/>
      <c r="C58" s="14"/>
      <c r="D58" s="14"/>
      <c r="E58" s="14"/>
      <c r="F58" s="14"/>
      <c r="G58" s="14"/>
      <c r="H58" s="14"/>
      <c r="I58" s="14"/>
      <c r="J58" s="12"/>
      <c r="K58" s="14"/>
      <c r="L58" s="14"/>
      <c r="M58" s="14"/>
      <c r="N58" s="17"/>
      <c r="O58" s="14"/>
    </row>
    <row r="59" customFormat="false" ht="15" hidden="false" customHeight="false" outlineLevel="0" collapsed="false">
      <c r="A59" s="7" t="n">
        <v>57</v>
      </c>
      <c r="B59" s="14"/>
      <c r="C59" s="14"/>
      <c r="D59" s="14"/>
      <c r="E59" s="14"/>
      <c r="F59" s="14"/>
      <c r="G59" s="14"/>
      <c r="H59" s="14"/>
      <c r="I59" s="14"/>
      <c r="J59" s="12"/>
      <c r="K59" s="14"/>
      <c r="L59" s="14"/>
      <c r="M59" s="14"/>
      <c r="N59" s="17"/>
      <c r="O59" s="14"/>
    </row>
    <row r="60" customFormat="false" ht="15" hidden="false" customHeight="false" outlineLevel="0" collapsed="false">
      <c r="A60" s="7" t="n">
        <v>58</v>
      </c>
      <c r="B60" s="14"/>
      <c r="C60" s="14"/>
      <c r="D60" s="14"/>
      <c r="E60" s="14"/>
      <c r="F60" s="14"/>
      <c r="G60" s="14"/>
      <c r="H60" s="14"/>
      <c r="I60" s="14"/>
      <c r="J60" s="12"/>
      <c r="K60" s="14"/>
      <c r="L60" s="14"/>
      <c r="M60" s="14"/>
      <c r="N60" s="17"/>
      <c r="O60" s="14"/>
    </row>
    <row r="61" customFormat="false" ht="15" hidden="false" customHeight="false" outlineLevel="0" collapsed="false">
      <c r="A61" s="7" t="n">
        <v>59</v>
      </c>
      <c r="B61" s="14"/>
      <c r="C61" s="14"/>
      <c r="D61" s="14"/>
      <c r="E61" s="14"/>
      <c r="F61" s="14"/>
      <c r="G61" s="14"/>
      <c r="H61" s="14"/>
      <c r="I61" s="14"/>
      <c r="J61" s="12"/>
      <c r="K61" s="14"/>
      <c r="L61" s="14"/>
      <c r="M61" s="14"/>
      <c r="N61" s="17"/>
      <c r="O61" s="14"/>
    </row>
    <row r="62" customFormat="false" ht="15" hidden="false" customHeight="false" outlineLevel="0" collapsed="false">
      <c r="A62" s="7" t="n">
        <v>60</v>
      </c>
      <c r="B62" s="14"/>
      <c r="C62" s="14"/>
      <c r="D62" s="14"/>
      <c r="E62" s="14"/>
      <c r="F62" s="14"/>
      <c r="G62" s="14"/>
      <c r="H62" s="14"/>
      <c r="I62" s="14"/>
      <c r="J62" s="12"/>
      <c r="K62" s="14"/>
      <c r="L62" s="14"/>
      <c r="M62" s="14"/>
      <c r="N62" s="17"/>
      <c r="O62" s="14"/>
    </row>
    <row r="63" customFormat="false" ht="15" hidden="false" customHeight="false" outlineLevel="0" collapsed="false">
      <c r="A63" s="7" t="n">
        <v>61</v>
      </c>
      <c r="B63" s="14"/>
      <c r="C63" s="14"/>
      <c r="D63" s="14"/>
      <c r="E63" s="14"/>
      <c r="F63" s="14"/>
      <c r="G63" s="14"/>
      <c r="H63" s="14"/>
      <c r="I63" s="14"/>
      <c r="J63" s="12"/>
      <c r="K63" s="14"/>
      <c r="L63" s="14"/>
      <c r="M63" s="14"/>
      <c r="N63" s="17"/>
      <c r="O63" s="14"/>
    </row>
    <row r="64" customFormat="false" ht="15" hidden="false" customHeight="false" outlineLevel="0" collapsed="false">
      <c r="A64" s="7" t="n">
        <v>62</v>
      </c>
      <c r="B64" s="14"/>
      <c r="C64" s="14"/>
      <c r="D64" s="14"/>
      <c r="E64" s="14"/>
      <c r="F64" s="14"/>
      <c r="G64" s="14"/>
      <c r="H64" s="14"/>
      <c r="I64" s="14"/>
      <c r="J64" s="12"/>
      <c r="K64" s="14"/>
      <c r="L64" s="14"/>
      <c r="M64" s="14"/>
      <c r="N64" s="17"/>
      <c r="O64" s="14"/>
    </row>
    <row r="65" customFormat="false" ht="15" hidden="false" customHeight="false" outlineLevel="0" collapsed="false">
      <c r="A65" s="7" t="n">
        <v>63</v>
      </c>
      <c r="B65" s="14"/>
      <c r="C65" s="14"/>
      <c r="D65" s="14"/>
      <c r="E65" s="14"/>
      <c r="F65" s="14"/>
      <c r="G65" s="14"/>
      <c r="H65" s="14"/>
      <c r="I65" s="14"/>
      <c r="J65" s="12"/>
      <c r="K65" s="14"/>
      <c r="L65" s="14"/>
      <c r="M65" s="14"/>
      <c r="N65" s="17"/>
      <c r="O65" s="14"/>
    </row>
    <row r="66" customFormat="false" ht="15" hidden="false" customHeight="false" outlineLevel="0" collapsed="false">
      <c r="A66" s="7" t="n">
        <v>64</v>
      </c>
      <c r="B66" s="14"/>
      <c r="C66" s="14"/>
      <c r="D66" s="14"/>
      <c r="E66" s="14"/>
      <c r="F66" s="14"/>
      <c r="G66" s="14"/>
      <c r="H66" s="14"/>
      <c r="I66" s="14"/>
      <c r="J66" s="12"/>
      <c r="K66" s="14"/>
      <c r="L66" s="14"/>
      <c r="M66" s="14"/>
      <c r="N66" s="17"/>
      <c r="O66" s="14"/>
    </row>
    <row r="67" customFormat="false" ht="15" hidden="false" customHeight="false" outlineLevel="0" collapsed="false">
      <c r="A67" s="7" t="n">
        <v>65</v>
      </c>
      <c r="B67" s="14"/>
      <c r="C67" s="14"/>
      <c r="D67" s="14"/>
      <c r="E67" s="14"/>
      <c r="F67" s="14"/>
      <c r="G67" s="14"/>
      <c r="H67" s="14"/>
      <c r="I67" s="14"/>
      <c r="J67" s="12"/>
      <c r="K67" s="14"/>
      <c r="L67" s="14"/>
      <c r="M67" s="14"/>
      <c r="N67" s="17"/>
      <c r="O67" s="14"/>
    </row>
    <row r="68" customFormat="false" ht="15" hidden="false" customHeight="false" outlineLevel="0" collapsed="false">
      <c r="A68" s="7" t="n">
        <v>66</v>
      </c>
      <c r="B68" s="14"/>
      <c r="C68" s="14"/>
      <c r="D68" s="14"/>
      <c r="E68" s="14"/>
      <c r="F68" s="14"/>
      <c r="G68" s="14"/>
      <c r="H68" s="14"/>
      <c r="I68" s="14"/>
      <c r="J68" s="12"/>
      <c r="K68" s="14"/>
      <c r="L68" s="14"/>
      <c r="M68" s="14"/>
      <c r="N68" s="17"/>
      <c r="O68" s="14"/>
    </row>
    <row r="69" customFormat="false" ht="15" hidden="false" customHeight="false" outlineLevel="0" collapsed="false">
      <c r="A69" s="7" t="n">
        <v>67</v>
      </c>
      <c r="B69" s="14"/>
      <c r="C69" s="14"/>
      <c r="D69" s="14"/>
      <c r="E69" s="14"/>
      <c r="F69" s="14"/>
      <c r="G69" s="14"/>
      <c r="H69" s="14"/>
      <c r="I69" s="14"/>
      <c r="J69" s="12"/>
      <c r="K69" s="14"/>
      <c r="L69" s="14"/>
      <c r="M69" s="14"/>
      <c r="N69" s="17"/>
      <c r="O69" s="14"/>
    </row>
    <row r="70" customFormat="false" ht="15" hidden="false" customHeight="false" outlineLevel="0" collapsed="false">
      <c r="A70" s="7" t="n">
        <v>68</v>
      </c>
      <c r="B70" s="14"/>
      <c r="C70" s="14"/>
      <c r="D70" s="14"/>
      <c r="E70" s="14"/>
      <c r="F70" s="14"/>
      <c r="G70" s="14"/>
      <c r="H70" s="14"/>
      <c r="I70" s="14"/>
      <c r="J70" s="12"/>
      <c r="K70" s="14"/>
      <c r="L70" s="14"/>
      <c r="M70" s="14"/>
      <c r="N70" s="17"/>
      <c r="O70" s="14"/>
    </row>
    <row r="71" customFormat="false" ht="15" hidden="false" customHeight="false" outlineLevel="0" collapsed="false">
      <c r="A71" s="7" t="n">
        <v>69</v>
      </c>
      <c r="B71" s="14"/>
      <c r="C71" s="14"/>
      <c r="D71" s="14"/>
      <c r="E71" s="14"/>
      <c r="F71" s="14"/>
      <c r="G71" s="14"/>
      <c r="H71" s="14"/>
      <c r="I71" s="14"/>
      <c r="J71" s="12"/>
      <c r="K71" s="14"/>
      <c r="L71" s="14"/>
      <c r="M71" s="14"/>
      <c r="N71" s="17"/>
      <c r="O71" s="14"/>
    </row>
    <row r="72" customFormat="false" ht="15" hidden="false" customHeight="false" outlineLevel="0" collapsed="false">
      <c r="A72" s="7" t="n">
        <v>70</v>
      </c>
      <c r="B72" s="14"/>
      <c r="C72" s="14"/>
      <c r="D72" s="14"/>
      <c r="E72" s="14"/>
      <c r="F72" s="14"/>
      <c r="G72" s="14"/>
      <c r="H72" s="14"/>
      <c r="I72" s="14"/>
      <c r="J72" s="12"/>
      <c r="K72" s="14"/>
      <c r="L72" s="14"/>
      <c r="M72" s="14"/>
      <c r="N72" s="17"/>
      <c r="O72" s="14"/>
    </row>
    <row r="73" customFormat="false" ht="15" hidden="false" customHeight="false" outlineLevel="0" collapsed="false">
      <c r="A73" s="7" t="n">
        <v>71</v>
      </c>
      <c r="B73" s="14"/>
      <c r="C73" s="14"/>
      <c r="D73" s="14"/>
      <c r="E73" s="14"/>
      <c r="F73" s="14"/>
      <c r="G73" s="14"/>
      <c r="H73" s="14"/>
      <c r="I73" s="14"/>
      <c r="J73" s="12"/>
      <c r="K73" s="14"/>
      <c r="L73" s="14"/>
      <c r="M73" s="14"/>
      <c r="N73" s="17"/>
      <c r="O73" s="14"/>
    </row>
    <row r="74" customFormat="false" ht="15" hidden="false" customHeight="false" outlineLevel="0" collapsed="false">
      <c r="A74" s="7" t="n">
        <v>72</v>
      </c>
      <c r="B74" s="14"/>
      <c r="C74" s="14"/>
      <c r="D74" s="14"/>
      <c r="E74" s="14"/>
      <c r="F74" s="14"/>
      <c r="G74" s="14"/>
      <c r="H74" s="14"/>
      <c r="I74" s="14"/>
      <c r="J74" s="12"/>
      <c r="K74" s="14"/>
      <c r="L74" s="14"/>
      <c r="M74" s="14"/>
      <c r="N74" s="17"/>
      <c r="O74" s="14"/>
    </row>
    <row r="75" customFormat="false" ht="15" hidden="false" customHeight="false" outlineLevel="0" collapsed="false">
      <c r="A75" s="7" t="n">
        <v>73</v>
      </c>
      <c r="B75" s="14"/>
      <c r="C75" s="14"/>
      <c r="D75" s="14"/>
      <c r="E75" s="14"/>
      <c r="F75" s="14"/>
      <c r="G75" s="14"/>
      <c r="H75" s="14"/>
      <c r="I75" s="14"/>
      <c r="J75" s="12"/>
      <c r="K75" s="14"/>
      <c r="L75" s="14"/>
      <c r="M75" s="14"/>
      <c r="N75" s="17"/>
      <c r="O75" s="14"/>
    </row>
    <row r="76" customFormat="false" ht="15" hidden="false" customHeight="false" outlineLevel="0" collapsed="false">
      <c r="A76" s="7" t="n">
        <v>74</v>
      </c>
      <c r="B76" s="14"/>
      <c r="C76" s="14"/>
      <c r="D76" s="14"/>
      <c r="E76" s="14"/>
      <c r="F76" s="14"/>
      <c r="G76" s="14"/>
      <c r="H76" s="14"/>
      <c r="I76" s="14"/>
      <c r="J76" s="12"/>
      <c r="K76" s="14"/>
      <c r="L76" s="14"/>
      <c r="M76" s="14"/>
      <c r="N76" s="17"/>
      <c r="O76" s="14"/>
    </row>
    <row r="77" customFormat="false" ht="15" hidden="false" customHeight="false" outlineLevel="0" collapsed="false">
      <c r="A77" s="7" t="n">
        <v>75</v>
      </c>
      <c r="B77" s="14"/>
      <c r="C77" s="14"/>
      <c r="D77" s="14"/>
      <c r="E77" s="14"/>
      <c r="F77" s="14"/>
      <c r="G77" s="14"/>
      <c r="H77" s="14"/>
      <c r="I77" s="14"/>
      <c r="J77" s="12"/>
      <c r="K77" s="14"/>
      <c r="L77" s="14"/>
      <c r="M77" s="14"/>
      <c r="N77" s="17"/>
      <c r="O77" s="14"/>
    </row>
    <row r="78" customFormat="false" ht="15" hidden="false" customHeight="false" outlineLevel="0" collapsed="false">
      <c r="A78" s="7" t="n">
        <v>76</v>
      </c>
      <c r="B78" s="14"/>
      <c r="C78" s="14"/>
      <c r="D78" s="14"/>
      <c r="E78" s="14"/>
      <c r="F78" s="14"/>
      <c r="G78" s="14"/>
      <c r="H78" s="14"/>
      <c r="I78" s="14"/>
      <c r="J78" s="12"/>
      <c r="K78" s="14"/>
      <c r="L78" s="14"/>
      <c r="M78" s="14"/>
      <c r="N78" s="17"/>
      <c r="O78" s="14"/>
    </row>
    <row r="79" customFormat="false" ht="15" hidden="false" customHeight="false" outlineLevel="0" collapsed="false">
      <c r="A79" s="7" t="n">
        <v>77</v>
      </c>
      <c r="B79" s="14"/>
      <c r="C79" s="14"/>
      <c r="D79" s="14"/>
      <c r="E79" s="14"/>
      <c r="F79" s="14"/>
      <c r="G79" s="14"/>
      <c r="H79" s="14"/>
      <c r="I79" s="14"/>
      <c r="J79" s="12"/>
      <c r="K79" s="14"/>
      <c r="L79" s="14"/>
      <c r="M79" s="14"/>
      <c r="N79" s="17"/>
      <c r="O79" s="14"/>
    </row>
    <row r="80" customFormat="false" ht="15" hidden="false" customHeight="false" outlineLevel="0" collapsed="false">
      <c r="A80" s="7" t="n">
        <v>78</v>
      </c>
      <c r="B80" s="14"/>
      <c r="C80" s="14"/>
      <c r="D80" s="14"/>
      <c r="E80" s="14"/>
      <c r="F80" s="14"/>
      <c r="G80" s="14"/>
      <c r="H80" s="14"/>
      <c r="I80" s="14"/>
      <c r="J80" s="12"/>
      <c r="K80" s="14"/>
      <c r="L80" s="14"/>
      <c r="M80" s="14"/>
      <c r="N80" s="17"/>
      <c r="O80" s="14"/>
    </row>
    <row r="81" customFormat="false" ht="15" hidden="false" customHeight="false" outlineLevel="0" collapsed="false">
      <c r="A81" s="7" t="n">
        <v>79</v>
      </c>
      <c r="B81" s="14"/>
      <c r="C81" s="14"/>
      <c r="D81" s="14"/>
      <c r="E81" s="14"/>
      <c r="F81" s="14"/>
      <c r="G81" s="14"/>
      <c r="H81" s="14"/>
      <c r="I81" s="14"/>
      <c r="J81" s="12"/>
      <c r="K81" s="14"/>
      <c r="L81" s="14"/>
      <c r="M81" s="14"/>
      <c r="N81" s="17"/>
      <c r="O81" s="14"/>
    </row>
    <row r="82" customFormat="false" ht="15" hidden="false" customHeight="false" outlineLevel="0" collapsed="false">
      <c r="A82" s="7" t="n">
        <v>80</v>
      </c>
      <c r="B82" s="14"/>
      <c r="C82" s="14"/>
      <c r="D82" s="14"/>
      <c r="E82" s="14"/>
      <c r="F82" s="14"/>
      <c r="G82" s="14"/>
      <c r="H82" s="14"/>
      <c r="I82" s="14"/>
      <c r="J82" s="12"/>
      <c r="K82" s="14"/>
      <c r="L82" s="14"/>
      <c r="M82" s="14"/>
      <c r="N82" s="17"/>
      <c r="O82" s="14"/>
    </row>
    <row r="83" customFormat="false" ht="15" hidden="false" customHeight="false" outlineLevel="0" collapsed="false">
      <c r="A83" s="7" t="n">
        <v>81</v>
      </c>
      <c r="B83" s="14"/>
      <c r="C83" s="14"/>
      <c r="D83" s="14"/>
      <c r="E83" s="14"/>
      <c r="F83" s="14"/>
      <c r="G83" s="14"/>
      <c r="H83" s="14"/>
      <c r="I83" s="14"/>
      <c r="J83" s="12"/>
      <c r="K83" s="14"/>
      <c r="L83" s="14"/>
      <c r="M83" s="14"/>
      <c r="N83" s="17"/>
      <c r="O83" s="14"/>
    </row>
    <row r="84" customFormat="false" ht="15" hidden="false" customHeight="false" outlineLevel="0" collapsed="false">
      <c r="A84" s="7" t="n">
        <v>82</v>
      </c>
      <c r="B84" s="14"/>
      <c r="C84" s="14"/>
      <c r="D84" s="14"/>
      <c r="E84" s="14"/>
      <c r="F84" s="14"/>
      <c r="G84" s="14"/>
      <c r="H84" s="14"/>
      <c r="I84" s="14"/>
      <c r="J84" s="12"/>
      <c r="K84" s="14"/>
      <c r="L84" s="14"/>
      <c r="M84" s="14"/>
      <c r="N84" s="17"/>
      <c r="O84" s="14"/>
    </row>
    <row r="85" customFormat="false" ht="15" hidden="false" customHeight="false" outlineLevel="0" collapsed="false">
      <c r="A85" s="7" t="n">
        <v>83</v>
      </c>
      <c r="B85" s="14"/>
      <c r="C85" s="14"/>
      <c r="D85" s="14"/>
      <c r="E85" s="14"/>
      <c r="F85" s="14"/>
      <c r="G85" s="14"/>
      <c r="H85" s="14"/>
      <c r="I85" s="14"/>
      <c r="J85" s="12"/>
      <c r="K85" s="14"/>
      <c r="L85" s="14"/>
      <c r="M85" s="14"/>
      <c r="N85" s="17"/>
      <c r="O85" s="14"/>
    </row>
    <row r="86" customFormat="false" ht="15" hidden="false" customHeight="false" outlineLevel="0" collapsed="false">
      <c r="A86" s="7" t="n">
        <v>84</v>
      </c>
      <c r="B86" s="14"/>
      <c r="C86" s="14"/>
      <c r="D86" s="14"/>
      <c r="E86" s="14"/>
      <c r="F86" s="14"/>
      <c r="G86" s="14"/>
      <c r="H86" s="14"/>
      <c r="I86" s="14"/>
      <c r="J86" s="12"/>
      <c r="K86" s="14"/>
      <c r="L86" s="14"/>
      <c r="M86" s="14"/>
      <c r="N86" s="17"/>
      <c r="O86" s="14"/>
    </row>
    <row r="87" customFormat="false" ht="15" hidden="false" customHeight="false" outlineLevel="0" collapsed="false">
      <c r="A87" s="7" t="n">
        <v>85</v>
      </c>
      <c r="B87" s="14"/>
      <c r="C87" s="14"/>
      <c r="D87" s="14"/>
      <c r="E87" s="14"/>
      <c r="F87" s="14"/>
      <c r="G87" s="14"/>
      <c r="H87" s="14"/>
      <c r="I87" s="14"/>
      <c r="J87" s="12"/>
      <c r="K87" s="14"/>
      <c r="L87" s="14"/>
      <c r="M87" s="14"/>
      <c r="N87" s="17"/>
      <c r="O87" s="14"/>
    </row>
    <row r="88" customFormat="false" ht="15" hidden="false" customHeight="false" outlineLevel="0" collapsed="false">
      <c r="A88" s="7" t="n">
        <v>86</v>
      </c>
      <c r="B88" s="14"/>
      <c r="C88" s="14"/>
      <c r="D88" s="14"/>
      <c r="E88" s="14"/>
      <c r="F88" s="14"/>
      <c r="G88" s="14"/>
      <c r="H88" s="14"/>
      <c r="I88" s="14"/>
      <c r="J88" s="12"/>
      <c r="K88" s="14"/>
      <c r="L88" s="14"/>
      <c r="M88" s="14"/>
      <c r="N88" s="17"/>
      <c r="O88" s="14"/>
    </row>
    <row r="89" customFormat="false" ht="15" hidden="false" customHeight="false" outlineLevel="0" collapsed="false">
      <c r="A89" s="7" t="n">
        <v>87</v>
      </c>
      <c r="B89" s="14"/>
      <c r="C89" s="14"/>
      <c r="D89" s="14"/>
      <c r="E89" s="14"/>
      <c r="F89" s="14"/>
      <c r="G89" s="14"/>
      <c r="H89" s="14"/>
      <c r="I89" s="14"/>
      <c r="J89" s="12"/>
      <c r="K89" s="14"/>
      <c r="L89" s="14"/>
      <c r="M89" s="14"/>
      <c r="N89" s="17"/>
      <c r="O89" s="14"/>
    </row>
    <row r="90" customFormat="false" ht="15" hidden="false" customHeight="false" outlineLevel="0" collapsed="false">
      <c r="A90" s="7" t="n">
        <v>88</v>
      </c>
      <c r="B90" s="14"/>
      <c r="C90" s="14"/>
      <c r="D90" s="14"/>
      <c r="E90" s="14"/>
      <c r="F90" s="14"/>
      <c r="G90" s="14"/>
      <c r="H90" s="14"/>
      <c r="I90" s="14"/>
      <c r="J90" s="12"/>
      <c r="K90" s="14"/>
      <c r="L90" s="14"/>
      <c r="M90" s="14"/>
      <c r="N90" s="17"/>
      <c r="O90" s="14"/>
    </row>
    <row r="91" customFormat="false" ht="15" hidden="false" customHeight="false" outlineLevel="0" collapsed="false">
      <c r="A91" s="7" t="n">
        <v>89</v>
      </c>
      <c r="B91" s="14"/>
      <c r="C91" s="14"/>
      <c r="D91" s="14"/>
      <c r="E91" s="14"/>
      <c r="F91" s="14"/>
      <c r="G91" s="14"/>
      <c r="H91" s="14"/>
      <c r="I91" s="14"/>
      <c r="J91" s="12"/>
      <c r="K91" s="14"/>
      <c r="L91" s="14"/>
      <c r="M91" s="14"/>
      <c r="N91" s="17"/>
      <c r="O91" s="14"/>
    </row>
    <row r="92" customFormat="false" ht="15" hidden="false" customHeight="false" outlineLevel="0" collapsed="false">
      <c r="A92" s="7" t="n">
        <v>90</v>
      </c>
      <c r="B92" s="14"/>
      <c r="C92" s="14"/>
      <c r="D92" s="14"/>
      <c r="E92" s="14"/>
      <c r="F92" s="14"/>
      <c r="G92" s="14"/>
      <c r="H92" s="14"/>
      <c r="I92" s="14"/>
      <c r="J92" s="12"/>
      <c r="K92" s="14"/>
      <c r="L92" s="14"/>
      <c r="M92" s="14"/>
      <c r="N92" s="17"/>
      <c r="O92" s="14"/>
    </row>
    <row r="93" customFormat="false" ht="15" hidden="false" customHeight="false" outlineLevel="0" collapsed="false">
      <c r="A93" s="7" t="n">
        <v>91</v>
      </c>
      <c r="B93" s="14"/>
      <c r="C93" s="14"/>
      <c r="D93" s="14"/>
      <c r="E93" s="14"/>
      <c r="F93" s="14"/>
      <c r="G93" s="14"/>
      <c r="H93" s="14"/>
      <c r="I93" s="14"/>
      <c r="J93" s="12"/>
      <c r="K93" s="14"/>
      <c r="L93" s="14"/>
      <c r="M93" s="14"/>
      <c r="N93" s="17"/>
      <c r="O93" s="14"/>
    </row>
    <row r="94" customFormat="false" ht="15" hidden="false" customHeight="false" outlineLevel="0" collapsed="false">
      <c r="A94" s="7" t="n">
        <v>92</v>
      </c>
      <c r="B94" s="14"/>
      <c r="C94" s="14"/>
      <c r="D94" s="14"/>
      <c r="E94" s="14"/>
      <c r="F94" s="14"/>
      <c r="G94" s="14"/>
      <c r="H94" s="14"/>
      <c r="I94" s="14"/>
      <c r="J94" s="12"/>
      <c r="K94" s="14"/>
      <c r="L94" s="14"/>
      <c r="M94" s="14"/>
      <c r="N94" s="17"/>
      <c r="O94" s="14"/>
    </row>
    <row r="95" customFormat="false" ht="15" hidden="false" customHeight="false" outlineLevel="0" collapsed="false">
      <c r="A95" s="7" t="n">
        <v>93</v>
      </c>
      <c r="B95" s="14"/>
      <c r="C95" s="14"/>
      <c r="D95" s="14"/>
      <c r="E95" s="14"/>
      <c r="F95" s="14"/>
      <c r="G95" s="14"/>
      <c r="H95" s="14"/>
      <c r="I95" s="14"/>
      <c r="J95" s="12"/>
      <c r="K95" s="14"/>
      <c r="L95" s="14"/>
      <c r="M95" s="14"/>
      <c r="N95" s="17"/>
      <c r="O95" s="14"/>
    </row>
    <row r="96" customFormat="false" ht="15" hidden="false" customHeight="false" outlineLevel="0" collapsed="false">
      <c r="A96" s="7" t="n">
        <v>94</v>
      </c>
      <c r="B96" s="14"/>
      <c r="C96" s="14"/>
      <c r="D96" s="14"/>
      <c r="E96" s="14"/>
      <c r="F96" s="14"/>
      <c r="G96" s="14"/>
      <c r="H96" s="14"/>
      <c r="I96" s="14"/>
      <c r="J96" s="12"/>
      <c r="K96" s="14"/>
      <c r="L96" s="14"/>
      <c r="M96" s="14"/>
      <c r="N96" s="17"/>
      <c r="O96" s="14"/>
    </row>
    <row r="97" customFormat="false" ht="15" hidden="false" customHeight="false" outlineLevel="0" collapsed="false">
      <c r="A97" s="7" t="n">
        <v>95</v>
      </c>
      <c r="B97" s="14"/>
      <c r="C97" s="14"/>
      <c r="D97" s="14"/>
      <c r="E97" s="14"/>
      <c r="F97" s="14"/>
      <c r="G97" s="14"/>
      <c r="H97" s="14"/>
      <c r="I97" s="14"/>
      <c r="J97" s="12"/>
      <c r="K97" s="14"/>
      <c r="L97" s="14"/>
      <c r="M97" s="14"/>
      <c r="N97" s="17"/>
      <c r="O97" s="14"/>
    </row>
    <row r="98" customFormat="false" ht="15" hidden="false" customHeight="false" outlineLevel="0" collapsed="false">
      <c r="A98" s="7" t="n">
        <v>96</v>
      </c>
      <c r="B98" s="14"/>
      <c r="C98" s="14"/>
      <c r="D98" s="14"/>
      <c r="E98" s="14"/>
      <c r="F98" s="14"/>
      <c r="G98" s="14"/>
      <c r="H98" s="14"/>
      <c r="I98" s="14"/>
      <c r="J98" s="12"/>
      <c r="K98" s="14"/>
      <c r="L98" s="14"/>
      <c r="M98" s="14"/>
      <c r="N98" s="17"/>
      <c r="O98" s="14"/>
    </row>
    <row r="99" customFormat="false" ht="15" hidden="false" customHeight="false" outlineLevel="0" collapsed="false">
      <c r="A99" s="7" t="n">
        <v>97</v>
      </c>
      <c r="B99" s="14"/>
      <c r="C99" s="14"/>
      <c r="D99" s="14"/>
      <c r="E99" s="14"/>
      <c r="F99" s="14"/>
      <c r="G99" s="14"/>
      <c r="H99" s="14"/>
      <c r="I99" s="14"/>
      <c r="J99" s="12"/>
      <c r="K99" s="14"/>
      <c r="L99" s="14"/>
      <c r="M99" s="14"/>
      <c r="N99" s="17"/>
      <c r="O99" s="14"/>
    </row>
    <row r="100" customFormat="false" ht="15" hidden="false" customHeight="false" outlineLevel="0" collapsed="false">
      <c r="A100" s="7" t="n">
        <v>98</v>
      </c>
      <c r="B100" s="14"/>
      <c r="C100" s="14"/>
      <c r="D100" s="14"/>
      <c r="E100" s="14"/>
      <c r="F100" s="14"/>
      <c r="G100" s="14"/>
      <c r="H100" s="14"/>
      <c r="I100" s="14"/>
      <c r="J100" s="12"/>
      <c r="K100" s="14"/>
      <c r="L100" s="14"/>
      <c r="M100" s="14"/>
      <c r="N100" s="17"/>
      <c r="O100" s="14"/>
    </row>
    <row r="101" customFormat="false" ht="15" hidden="false" customHeight="false" outlineLevel="0" collapsed="false">
      <c r="A101" s="7" t="n">
        <v>99</v>
      </c>
      <c r="B101" s="14"/>
      <c r="C101" s="14"/>
      <c r="D101" s="14"/>
      <c r="E101" s="14"/>
      <c r="F101" s="14"/>
      <c r="G101" s="14"/>
      <c r="H101" s="14"/>
      <c r="I101" s="14"/>
      <c r="J101" s="12"/>
      <c r="K101" s="14"/>
      <c r="L101" s="14"/>
      <c r="M101" s="14"/>
      <c r="N101" s="17"/>
      <c r="O101" s="14"/>
    </row>
    <row r="102" customFormat="false" ht="15" hidden="false" customHeight="false" outlineLevel="0" collapsed="false">
      <c r="A102" s="7" t="n">
        <v>100</v>
      </c>
      <c r="B102" s="14"/>
      <c r="C102" s="14"/>
      <c r="D102" s="14"/>
      <c r="E102" s="14"/>
      <c r="F102" s="14"/>
      <c r="G102" s="14"/>
      <c r="H102" s="14"/>
      <c r="I102" s="14"/>
      <c r="J102" s="12"/>
      <c r="K102" s="14"/>
      <c r="L102" s="14"/>
      <c r="M102" s="14"/>
      <c r="N102" s="17"/>
      <c r="O102" s="14"/>
    </row>
    <row r="103" customFormat="false" ht="15" hidden="false" customHeight="false" outlineLevel="0" collapsed="false">
      <c r="A103" s="7" t="n">
        <v>101</v>
      </c>
      <c r="B103" s="14"/>
      <c r="C103" s="14"/>
      <c r="D103" s="14"/>
      <c r="E103" s="14"/>
      <c r="F103" s="14"/>
      <c r="G103" s="14"/>
      <c r="H103" s="14"/>
      <c r="I103" s="14"/>
      <c r="J103" s="12"/>
      <c r="K103" s="14"/>
      <c r="L103" s="14"/>
      <c r="M103" s="14"/>
      <c r="N103" s="17"/>
      <c r="O103" s="14"/>
    </row>
    <row r="104" customFormat="false" ht="15" hidden="false" customHeight="false" outlineLevel="0" collapsed="false">
      <c r="A104" s="7" t="n">
        <v>102</v>
      </c>
      <c r="B104" s="14"/>
      <c r="C104" s="14"/>
      <c r="D104" s="14"/>
      <c r="E104" s="14"/>
      <c r="F104" s="14"/>
      <c r="G104" s="14"/>
      <c r="H104" s="14"/>
      <c r="I104" s="14"/>
      <c r="J104" s="12"/>
      <c r="K104" s="14"/>
      <c r="L104" s="14"/>
      <c r="M104" s="14"/>
      <c r="N104" s="17"/>
      <c r="O104" s="14"/>
    </row>
    <row r="105" customFormat="false" ht="15" hidden="false" customHeight="false" outlineLevel="0" collapsed="false">
      <c r="A105" s="7" t="n">
        <v>103</v>
      </c>
      <c r="B105" s="14"/>
      <c r="C105" s="14"/>
      <c r="D105" s="14"/>
      <c r="E105" s="14"/>
      <c r="F105" s="14"/>
      <c r="G105" s="14"/>
      <c r="H105" s="14"/>
      <c r="I105" s="14"/>
      <c r="J105" s="12"/>
      <c r="K105" s="14"/>
      <c r="L105" s="14"/>
      <c r="M105" s="14"/>
      <c r="N105" s="17"/>
      <c r="O105" s="14"/>
    </row>
    <row r="106" customFormat="false" ht="15" hidden="false" customHeight="false" outlineLevel="0" collapsed="false">
      <c r="A106" s="7" t="n">
        <v>104</v>
      </c>
      <c r="B106" s="14"/>
      <c r="C106" s="14"/>
      <c r="D106" s="14"/>
      <c r="E106" s="14"/>
      <c r="F106" s="14"/>
      <c r="G106" s="14"/>
      <c r="H106" s="14"/>
      <c r="I106" s="14"/>
      <c r="J106" s="12"/>
      <c r="K106" s="14"/>
      <c r="L106" s="14"/>
      <c r="M106" s="14"/>
      <c r="N106" s="17"/>
      <c r="O106" s="14"/>
    </row>
    <row r="107" customFormat="false" ht="15" hidden="false" customHeight="false" outlineLevel="0" collapsed="false">
      <c r="A107" s="7" t="n">
        <v>105</v>
      </c>
      <c r="B107" s="14"/>
      <c r="C107" s="14"/>
      <c r="D107" s="14"/>
      <c r="E107" s="14"/>
      <c r="F107" s="14"/>
      <c r="G107" s="14"/>
      <c r="H107" s="14"/>
      <c r="I107" s="14"/>
      <c r="J107" s="12"/>
      <c r="K107" s="14"/>
      <c r="L107" s="14"/>
      <c r="M107" s="14"/>
      <c r="N107" s="17"/>
      <c r="O107" s="14"/>
    </row>
    <row r="108" customFormat="false" ht="15" hidden="false" customHeight="false" outlineLevel="0" collapsed="false">
      <c r="A108" s="7" t="n">
        <v>106</v>
      </c>
      <c r="B108" s="14"/>
      <c r="C108" s="14"/>
      <c r="D108" s="14"/>
      <c r="E108" s="14"/>
      <c r="F108" s="14"/>
      <c r="G108" s="14"/>
      <c r="H108" s="14"/>
      <c r="I108" s="14"/>
      <c r="J108" s="12"/>
      <c r="K108" s="14"/>
      <c r="L108" s="14"/>
      <c r="M108" s="14"/>
      <c r="N108" s="17"/>
      <c r="O108" s="14"/>
    </row>
    <row r="109" customFormat="false" ht="15" hidden="false" customHeight="false" outlineLevel="0" collapsed="false">
      <c r="A109" s="7" t="n">
        <v>107</v>
      </c>
      <c r="B109" s="14"/>
      <c r="C109" s="14"/>
      <c r="D109" s="14"/>
      <c r="E109" s="14"/>
      <c r="F109" s="14"/>
      <c r="G109" s="14"/>
      <c r="H109" s="14"/>
      <c r="I109" s="14"/>
      <c r="J109" s="12"/>
      <c r="K109" s="14"/>
      <c r="L109" s="14"/>
      <c r="M109" s="14"/>
      <c r="N109" s="17"/>
      <c r="O109" s="14"/>
    </row>
    <row r="110" customFormat="false" ht="15" hidden="false" customHeight="false" outlineLevel="0" collapsed="false">
      <c r="A110" s="7" t="n">
        <v>108</v>
      </c>
      <c r="B110" s="14"/>
      <c r="C110" s="14"/>
      <c r="D110" s="14"/>
      <c r="E110" s="14"/>
      <c r="F110" s="14"/>
      <c r="G110" s="14"/>
      <c r="H110" s="14"/>
      <c r="I110" s="14"/>
      <c r="J110" s="12"/>
      <c r="K110" s="14"/>
      <c r="L110" s="14"/>
      <c r="M110" s="14"/>
      <c r="N110" s="17"/>
      <c r="O110" s="14"/>
    </row>
    <row r="111" customFormat="false" ht="15" hidden="false" customHeight="false" outlineLevel="0" collapsed="false">
      <c r="A111" s="7" t="n">
        <v>109</v>
      </c>
      <c r="B111" s="14"/>
      <c r="C111" s="14"/>
      <c r="D111" s="14"/>
      <c r="E111" s="14"/>
      <c r="F111" s="14"/>
      <c r="G111" s="14"/>
      <c r="H111" s="14"/>
      <c r="I111" s="14"/>
      <c r="J111" s="12"/>
      <c r="K111" s="14"/>
      <c r="L111" s="14"/>
      <c r="M111" s="14"/>
      <c r="N111" s="17"/>
      <c r="O111" s="14"/>
    </row>
    <row r="112" customFormat="false" ht="15" hidden="false" customHeight="false" outlineLevel="0" collapsed="false">
      <c r="A112" s="7" t="n">
        <v>110</v>
      </c>
      <c r="B112" s="14"/>
      <c r="C112" s="14"/>
      <c r="D112" s="14"/>
      <c r="E112" s="14"/>
      <c r="F112" s="14"/>
      <c r="G112" s="14"/>
      <c r="H112" s="14"/>
      <c r="I112" s="14"/>
      <c r="J112" s="12"/>
      <c r="K112" s="14"/>
      <c r="L112" s="14"/>
      <c r="M112" s="14"/>
      <c r="N112" s="17"/>
      <c r="O112" s="14"/>
    </row>
    <row r="113" customFormat="false" ht="15" hidden="false" customHeight="false" outlineLevel="0" collapsed="false">
      <c r="A113" s="7" t="n">
        <v>111</v>
      </c>
      <c r="B113" s="14"/>
      <c r="C113" s="14"/>
      <c r="D113" s="14"/>
      <c r="E113" s="14"/>
      <c r="F113" s="14"/>
      <c r="G113" s="14"/>
      <c r="H113" s="14"/>
      <c r="I113" s="14"/>
      <c r="J113" s="12"/>
      <c r="K113" s="14"/>
      <c r="L113" s="14"/>
      <c r="M113" s="14"/>
      <c r="N113" s="17"/>
      <c r="O113" s="14"/>
    </row>
    <row r="114" customFormat="false" ht="15" hidden="false" customHeight="false" outlineLevel="0" collapsed="false">
      <c r="A114" s="7" t="n">
        <v>112</v>
      </c>
      <c r="B114" s="14"/>
      <c r="C114" s="14"/>
      <c r="D114" s="14"/>
      <c r="E114" s="14"/>
      <c r="F114" s="14"/>
      <c r="G114" s="14"/>
      <c r="H114" s="14"/>
      <c r="I114" s="14"/>
      <c r="J114" s="12"/>
      <c r="K114" s="14"/>
      <c r="L114" s="14"/>
      <c r="M114" s="14"/>
      <c r="N114" s="17"/>
      <c r="O114" s="14"/>
    </row>
    <row r="115" customFormat="false" ht="15" hidden="false" customHeight="false" outlineLevel="0" collapsed="false">
      <c r="A115" s="7" t="n">
        <v>113</v>
      </c>
      <c r="B115" s="14"/>
      <c r="C115" s="14"/>
      <c r="D115" s="14"/>
      <c r="E115" s="14"/>
      <c r="F115" s="14"/>
      <c r="G115" s="14"/>
      <c r="H115" s="14"/>
      <c r="I115" s="14"/>
      <c r="J115" s="12"/>
      <c r="K115" s="14"/>
      <c r="L115" s="14"/>
      <c r="M115" s="14"/>
      <c r="N115" s="17"/>
      <c r="O115" s="14"/>
    </row>
    <row r="116" customFormat="false" ht="15" hidden="false" customHeight="false" outlineLevel="0" collapsed="false">
      <c r="A116" s="7" t="n">
        <v>114</v>
      </c>
      <c r="B116" s="14"/>
      <c r="C116" s="14"/>
      <c r="D116" s="14"/>
      <c r="E116" s="14"/>
      <c r="F116" s="14"/>
      <c r="G116" s="14"/>
      <c r="H116" s="14"/>
      <c r="I116" s="14"/>
      <c r="J116" s="12"/>
      <c r="K116" s="14"/>
      <c r="L116" s="14"/>
      <c r="M116" s="14"/>
      <c r="N116" s="17"/>
      <c r="O116" s="14"/>
    </row>
    <row r="117" customFormat="false" ht="15" hidden="false" customHeight="false" outlineLevel="0" collapsed="false">
      <c r="A117" s="7" t="n">
        <v>115</v>
      </c>
      <c r="B117" s="14"/>
      <c r="C117" s="14"/>
      <c r="D117" s="14"/>
      <c r="E117" s="14"/>
      <c r="F117" s="14"/>
      <c r="G117" s="14"/>
      <c r="H117" s="14"/>
      <c r="I117" s="14"/>
      <c r="J117" s="12"/>
      <c r="K117" s="14"/>
      <c r="L117" s="14"/>
      <c r="M117" s="14"/>
      <c r="N117" s="17"/>
      <c r="O117" s="14"/>
    </row>
    <row r="118" customFormat="false" ht="15" hidden="false" customHeight="false" outlineLevel="0" collapsed="false">
      <c r="A118" s="7" t="n">
        <v>116</v>
      </c>
      <c r="B118" s="14"/>
      <c r="C118" s="14"/>
      <c r="D118" s="14"/>
      <c r="E118" s="14"/>
      <c r="F118" s="14"/>
      <c r="G118" s="14"/>
      <c r="H118" s="14"/>
      <c r="I118" s="14"/>
      <c r="J118" s="12"/>
      <c r="K118" s="14"/>
      <c r="L118" s="14"/>
      <c r="M118" s="14"/>
      <c r="N118" s="17"/>
      <c r="O118" s="14"/>
    </row>
    <row r="119" customFormat="false" ht="15" hidden="false" customHeight="false" outlineLevel="0" collapsed="false">
      <c r="A119" s="7" t="n">
        <v>117</v>
      </c>
      <c r="B119" s="14"/>
      <c r="C119" s="14"/>
      <c r="D119" s="14"/>
      <c r="E119" s="14"/>
      <c r="F119" s="14"/>
      <c r="G119" s="14"/>
      <c r="H119" s="14"/>
      <c r="I119" s="14"/>
      <c r="J119" s="12"/>
      <c r="K119" s="14"/>
      <c r="L119" s="14"/>
      <c r="M119" s="14"/>
      <c r="N119" s="17"/>
      <c r="O119" s="14"/>
    </row>
    <row r="120" customFormat="false" ht="15" hidden="false" customHeight="false" outlineLevel="0" collapsed="false">
      <c r="A120" s="7" t="n">
        <v>118</v>
      </c>
      <c r="B120" s="14"/>
      <c r="C120" s="14"/>
      <c r="D120" s="14"/>
      <c r="E120" s="14"/>
      <c r="F120" s="14"/>
      <c r="G120" s="14"/>
      <c r="H120" s="14"/>
      <c r="I120" s="14"/>
      <c r="J120" s="12"/>
      <c r="K120" s="14"/>
      <c r="L120" s="14"/>
      <c r="M120" s="14"/>
      <c r="N120" s="17"/>
      <c r="O120" s="14"/>
    </row>
    <row r="121" customFormat="false" ht="15" hidden="false" customHeight="false" outlineLevel="0" collapsed="false">
      <c r="A121" s="7" t="n">
        <v>119</v>
      </c>
      <c r="B121" s="14"/>
      <c r="C121" s="14"/>
      <c r="D121" s="14"/>
      <c r="E121" s="14"/>
      <c r="F121" s="14"/>
      <c r="G121" s="14"/>
      <c r="H121" s="14"/>
      <c r="I121" s="14"/>
      <c r="J121" s="12"/>
      <c r="K121" s="14"/>
      <c r="L121" s="14"/>
      <c r="M121" s="14"/>
      <c r="N121" s="17"/>
      <c r="O121" s="14"/>
    </row>
    <row r="122" customFormat="false" ht="15" hidden="false" customHeight="false" outlineLevel="0" collapsed="false">
      <c r="A122" s="7" t="n">
        <v>120</v>
      </c>
      <c r="B122" s="14"/>
      <c r="C122" s="14"/>
      <c r="D122" s="14"/>
      <c r="E122" s="14"/>
      <c r="F122" s="14"/>
      <c r="G122" s="14"/>
      <c r="H122" s="14"/>
      <c r="I122" s="14"/>
      <c r="J122" s="12"/>
      <c r="K122" s="14"/>
      <c r="L122" s="14"/>
      <c r="M122" s="14"/>
      <c r="N122" s="17"/>
      <c r="O122" s="14"/>
    </row>
    <row r="123" customFormat="false" ht="15" hidden="false" customHeight="false" outlineLevel="0" collapsed="false">
      <c r="A123" s="7" t="n">
        <v>121</v>
      </c>
      <c r="B123" s="14"/>
      <c r="C123" s="14"/>
      <c r="D123" s="14"/>
      <c r="E123" s="14"/>
      <c r="F123" s="14"/>
      <c r="G123" s="14"/>
      <c r="H123" s="14"/>
      <c r="I123" s="14"/>
      <c r="J123" s="12"/>
      <c r="K123" s="14"/>
      <c r="L123" s="14"/>
      <c r="M123" s="14"/>
      <c r="N123" s="17"/>
      <c r="O123" s="14"/>
    </row>
    <row r="124" customFormat="false" ht="15" hidden="false" customHeight="false" outlineLevel="0" collapsed="false">
      <c r="A124" s="7" t="n">
        <v>122</v>
      </c>
      <c r="B124" s="14"/>
      <c r="C124" s="14"/>
      <c r="D124" s="14"/>
      <c r="E124" s="14"/>
      <c r="F124" s="14"/>
      <c r="G124" s="14"/>
      <c r="H124" s="14"/>
      <c r="I124" s="14"/>
      <c r="J124" s="12"/>
      <c r="K124" s="14"/>
      <c r="L124" s="14"/>
      <c r="M124" s="14"/>
      <c r="N124" s="17"/>
      <c r="O124" s="14"/>
    </row>
    <row r="125" customFormat="false" ht="15" hidden="false" customHeight="false" outlineLevel="0" collapsed="false">
      <c r="A125" s="7" t="n">
        <v>123</v>
      </c>
      <c r="B125" s="14"/>
      <c r="C125" s="14"/>
      <c r="D125" s="14"/>
      <c r="E125" s="14"/>
      <c r="F125" s="14"/>
      <c r="G125" s="14"/>
      <c r="H125" s="14"/>
      <c r="I125" s="14"/>
      <c r="J125" s="12"/>
      <c r="K125" s="14"/>
      <c r="L125" s="14"/>
      <c r="M125" s="14"/>
      <c r="N125" s="17"/>
      <c r="O125" s="14"/>
    </row>
    <row r="126" customFormat="false" ht="15" hidden="false" customHeight="false" outlineLevel="0" collapsed="false">
      <c r="A126" s="7" t="n">
        <v>124</v>
      </c>
      <c r="B126" s="14"/>
      <c r="C126" s="14"/>
      <c r="D126" s="14"/>
      <c r="E126" s="14"/>
      <c r="F126" s="14"/>
      <c r="G126" s="14"/>
      <c r="H126" s="14"/>
      <c r="I126" s="14"/>
      <c r="J126" s="12"/>
      <c r="K126" s="14"/>
      <c r="L126" s="14"/>
      <c r="M126" s="14"/>
      <c r="N126" s="17"/>
      <c r="O126" s="14"/>
    </row>
    <row r="127" customFormat="false" ht="15" hidden="false" customHeight="false" outlineLevel="0" collapsed="false">
      <c r="A127" s="7" t="n">
        <v>125</v>
      </c>
      <c r="B127" s="14"/>
      <c r="C127" s="14"/>
      <c r="D127" s="14"/>
      <c r="E127" s="14"/>
      <c r="F127" s="14"/>
      <c r="G127" s="14"/>
      <c r="H127" s="14"/>
      <c r="I127" s="14"/>
      <c r="J127" s="12"/>
      <c r="K127" s="14"/>
      <c r="L127" s="14"/>
      <c r="M127" s="14"/>
      <c r="N127" s="17"/>
      <c r="O127" s="14"/>
    </row>
    <row r="128" customFormat="false" ht="15" hidden="false" customHeight="false" outlineLevel="0" collapsed="false">
      <c r="A128" s="7" t="n">
        <v>126</v>
      </c>
      <c r="B128" s="14"/>
      <c r="C128" s="14"/>
      <c r="D128" s="14"/>
      <c r="E128" s="14"/>
      <c r="F128" s="14"/>
      <c r="G128" s="14"/>
      <c r="H128" s="14"/>
      <c r="I128" s="14"/>
      <c r="J128" s="12"/>
      <c r="K128" s="14"/>
      <c r="L128" s="14"/>
      <c r="M128" s="14"/>
      <c r="N128" s="17"/>
      <c r="O128" s="14"/>
    </row>
    <row r="129" customFormat="false" ht="15" hidden="false" customHeight="false" outlineLevel="0" collapsed="false">
      <c r="A129" s="7" t="n">
        <v>127</v>
      </c>
      <c r="B129" s="14"/>
      <c r="C129" s="14"/>
      <c r="D129" s="14"/>
      <c r="E129" s="14"/>
      <c r="F129" s="14"/>
      <c r="G129" s="14"/>
      <c r="H129" s="14"/>
      <c r="I129" s="14"/>
      <c r="J129" s="12"/>
      <c r="K129" s="14"/>
      <c r="L129" s="14"/>
      <c r="M129" s="14"/>
      <c r="N129" s="17"/>
      <c r="O129" s="14"/>
    </row>
    <row r="130" customFormat="false" ht="15" hidden="false" customHeight="false" outlineLevel="0" collapsed="false">
      <c r="A130" s="7" t="n">
        <v>128</v>
      </c>
      <c r="B130" s="14"/>
      <c r="C130" s="14"/>
      <c r="D130" s="14"/>
      <c r="E130" s="14"/>
      <c r="F130" s="14"/>
      <c r="G130" s="14"/>
      <c r="H130" s="14"/>
      <c r="I130" s="14"/>
      <c r="J130" s="12"/>
      <c r="K130" s="14"/>
      <c r="L130" s="14"/>
      <c r="M130" s="14"/>
      <c r="N130" s="17"/>
      <c r="O130" s="14"/>
    </row>
    <row r="131" customFormat="false" ht="15" hidden="false" customHeight="false" outlineLevel="0" collapsed="false">
      <c r="A131" s="7" t="n">
        <v>129</v>
      </c>
      <c r="B131" s="14"/>
      <c r="C131" s="14"/>
      <c r="D131" s="14"/>
      <c r="E131" s="14"/>
      <c r="F131" s="14"/>
      <c r="G131" s="14"/>
      <c r="H131" s="14"/>
      <c r="I131" s="14"/>
      <c r="J131" s="12"/>
      <c r="K131" s="14"/>
      <c r="L131" s="14"/>
      <c r="M131" s="14"/>
      <c r="N131" s="17"/>
      <c r="O131" s="14"/>
    </row>
    <row r="132" customFormat="false" ht="15" hidden="false" customHeight="false" outlineLevel="0" collapsed="false">
      <c r="A132" s="7" t="n">
        <v>130</v>
      </c>
      <c r="B132" s="14"/>
      <c r="C132" s="14"/>
      <c r="D132" s="14"/>
      <c r="E132" s="14"/>
      <c r="F132" s="14"/>
      <c r="G132" s="14"/>
      <c r="H132" s="14"/>
      <c r="I132" s="14"/>
      <c r="J132" s="12"/>
      <c r="K132" s="14"/>
      <c r="L132" s="14"/>
      <c r="M132" s="14"/>
      <c r="N132" s="17"/>
      <c r="O132" s="14"/>
    </row>
    <row r="133" customFormat="false" ht="15" hidden="false" customHeight="false" outlineLevel="0" collapsed="false">
      <c r="A133" s="7" t="n">
        <v>131</v>
      </c>
      <c r="B133" s="14"/>
      <c r="C133" s="14"/>
      <c r="D133" s="14"/>
      <c r="E133" s="14"/>
      <c r="F133" s="14"/>
      <c r="G133" s="14"/>
      <c r="H133" s="14"/>
      <c r="I133" s="14"/>
      <c r="J133" s="12"/>
      <c r="K133" s="14"/>
      <c r="L133" s="14"/>
      <c r="M133" s="14"/>
      <c r="N133" s="17"/>
      <c r="O133" s="14"/>
    </row>
    <row r="134" customFormat="false" ht="15" hidden="false" customHeight="false" outlineLevel="0" collapsed="false">
      <c r="A134" s="7" t="n">
        <v>132</v>
      </c>
      <c r="B134" s="14"/>
      <c r="C134" s="14"/>
      <c r="D134" s="14"/>
      <c r="E134" s="14"/>
      <c r="F134" s="14"/>
      <c r="G134" s="14"/>
      <c r="H134" s="14"/>
      <c r="I134" s="14"/>
      <c r="J134" s="12"/>
      <c r="K134" s="14"/>
      <c r="L134" s="14"/>
      <c r="M134" s="14"/>
      <c r="N134" s="17"/>
      <c r="O134" s="14"/>
    </row>
    <row r="135" customFormat="false" ht="15" hidden="false" customHeight="false" outlineLevel="0" collapsed="false">
      <c r="A135" s="7" t="n">
        <v>133</v>
      </c>
      <c r="B135" s="14"/>
      <c r="C135" s="14"/>
      <c r="D135" s="14"/>
      <c r="E135" s="14"/>
      <c r="F135" s="14"/>
      <c r="G135" s="14"/>
      <c r="H135" s="14"/>
      <c r="I135" s="14"/>
      <c r="J135" s="12"/>
      <c r="K135" s="14"/>
      <c r="L135" s="14"/>
      <c r="M135" s="14"/>
      <c r="N135" s="17"/>
      <c r="O135" s="14"/>
    </row>
    <row r="136" customFormat="false" ht="15" hidden="false" customHeight="false" outlineLevel="0" collapsed="false">
      <c r="A136" s="7" t="n">
        <v>134</v>
      </c>
      <c r="B136" s="14"/>
      <c r="C136" s="14"/>
      <c r="D136" s="14"/>
      <c r="E136" s="14"/>
      <c r="F136" s="14"/>
      <c r="G136" s="14"/>
      <c r="H136" s="14"/>
      <c r="I136" s="14"/>
      <c r="J136" s="12"/>
      <c r="K136" s="14"/>
      <c r="L136" s="14"/>
      <c r="M136" s="14"/>
      <c r="N136" s="17"/>
      <c r="O136" s="14"/>
    </row>
    <row r="137" customFormat="false" ht="15" hidden="false" customHeight="false" outlineLevel="0" collapsed="false">
      <c r="A137" s="7" t="n">
        <v>135</v>
      </c>
      <c r="B137" s="14"/>
      <c r="C137" s="14"/>
      <c r="D137" s="14"/>
      <c r="E137" s="14"/>
      <c r="F137" s="14"/>
      <c r="G137" s="14"/>
      <c r="H137" s="14"/>
      <c r="I137" s="14"/>
      <c r="J137" s="12"/>
      <c r="K137" s="14"/>
      <c r="L137" s="14"/>
      <c r="M137" s="14"/>
      <c r="N137" s="17"/>
      <c r="O137" s="14"/>
    </row>
    <row r="138" customFormat="false" ht="15" hidden="false" customHeight="false" outlineLevel="0" collapsed="false">
      <c r="A138" s="7" t="n">
        <v>136</v>
      </c>
      <c r="B138" s="14"/>
      <c r="C138" s="14"/>
      <c r="D138" s="14"/>
      <c r="E138" s="14"/>
      <c r="F138" s="14"/>
      <c r="G138" s="14"/>
      <c r="H138" s="14"/>
      <c r="I138" s="14"/>
      <c r="J138" s="12"/>
      <c r="K138" s="14"/>
      <c r="L138" s="14"/>
      <c r="M138" s="14"/>
      <c r="N138" s="17"/>
      <c r="O138" s="14"/>
    </row>
    <row r="139" customFormat="false" ht="15" hidden="false" customHeight="false" outlineLevel="0" collapsed="false">
      <c r="A139" s="7" t="n">
        <v>137</v>
      </c>
      <c r="B139" s="14"/>
      <c r="C139" s="14"/>
      <c r="D139" s="14"/>
      <c r="E139" s="14"/>
      <c r="F139" s="14"/>
      <c r="G139" s="14"/>
      <c r="H139" s="14"/>
      <c r="I139" s="14"/>
      <c r="J139" s="12"/>
      <c r="K139" s="14"/>
      <c r="L139" s="14"/>
      <c r="M139" s="14"/>
      <c r="N139" s="17"/>
      <c r="O139" s="14"/>
    </row>
    <row r="140" customFormat="false" ht="15" hidden="false" customHeight="false" outlineLevel="0" collapsed="false">
      <c r="A140" s="7" t="n">
        <v>138</v>
      </c>
      <c r="B140" s="14"/>
      <c r="C140" s="14"/>
      <c r="D140" s="14"/>
      <c r="E140" s="14"/>
      <c r="F140" s="14"/>
      <c r="G140" s="14"/>
      <c r="H140" s="14"/>
      <c r="I140" s="14"/>
      <c r="J140" s="12"/>
      <c r="K140" s="14"/>
      <c r="L140" s="14"/>
      <c r="M140" s="14"/>
      <c r="N140" s="17"/>
      <c r="O140" s="14"/>
    </row>
    <row r="141" customFormat="false" ht="15" hidden="false" customHeight="false" outlineLevel="0" collapsed="false">
      <c r="A141" s="7" t="n">
        <v>139</v>
      </c>
      <c r="B141" s="14"/>
      <c r="C141" s="14"/>
      <c r="D141" s="14"/>
      <c r="E141" s="14"/>
      <c r="F141" s="14"/>
      <c r="G141" s="14"/>
      <c r="H141" s="14"/>
      <c r="I141" s="14"/>
      <c r="J141" s="12"/>
      <c r="K141" s="14"/>
      <c r="L141" s="14"/>
      <c r="M141" s="14"/>
      <c r="N141" s="17"/>
      <c r="O141" s="14"/>
    </row>
    <row r="142" customFormat="false" ht="15" hidden="false" customHeight="false" outlineLevel="0" collapsed="false">
      <c r="A142" s="7" t="n">
        <v>140</v>
      </c>
      <c r="B142" s="14"/>
      <c r="C142" s="14"/>
      <c r="D142" s="14"/>
      <c r="E142" s="14"/>
      <c r="F142" s="14"/>
      <c r="G142" s="14"/>
      <c r="H142" s="14"/>
      <c r="I142" s="14"/>
      <c r="J142" s="12"/>
      <c r="K142" s="14"/>
      <c r="L142" s="14"/>
      <c r="M142" s="14"/>
      <c r="N142" s="17"/>
      <c r="O142" s="14"/>
    </row>
    <row r="143" customFormat="false" ht="15" hidden="false" customHeight="false" outlineLevel="0" collapsed="false">
      <c r="A143" s="7" t="n">
        <v>141</v>
      </c>
      <c r="B143" s="14"/>
      <c r="C143" s="14"/>
      <c r="D143" s="14"/>
      <c r="E143" s="14"/>
      <c r="F143" s="14"/>
      <c r="G143" s="14"/>
      <c r="H143" s="14"/>
      <c r="I143" s="14"/>
      <c r="J143" s="12"/>
      <c r="K143" s="14"/>
      <c r="L143" s="14"/>
      <c r="M143" s="14"/>
      <c r="N143" s="17"/>
      <c r="O143" s="14"/>
    </row>
    <row r="144" customFormat="false" ht="15" hidden="false" customHeight="false" outlineLevel="0" collapsed="false">
      <c r="A144" s="7" t="n">
        <v>142</v>
      </c>
      <c r="B144" s="14"/>
      <c r="C144" s="14"/>
      <c r="D144" s="14"/>
      <c r="E144" s="14"/>
      <c r="F144" s="14"/>
      <c r="G144" s="14"/>
      <c r="H144" s="14"/>
      <c r="I144" s="14"/>
      <c r="J144" s="12"/>
      <c r="K144" s="14"/>
      <c r="L144" s="14"/>
      <c r="M144" s="14"/>
      <c r="N144" s="17"/>
      <c r="O144" s="14"/>
    </row>
    <row r="145" customFormat="false" ht="15" hidden="false" customHeight="false" outlineLevel="0" collapsed="false">
      <c r="A145" s="7" t="n">
        <v>143</v>
      </c>
      <c r="B145" s="14"/>
      <c r="C145" s="14"/>
      <c r="D145" s="14"/>
      <c r="E145" s="14"/>
      <c r="F145" s="14"/>
      <c r="G145" s="14"/>
      <c r="H145" s="14"/>
      <c r="I145" s="14"/>
      <c r="J145" s="12"/>
      <c r="K145" s="14"/>
      <c r="L145" s="14"/>
      <c r="M145" s="14"/>
      <c r="N145" s="17"/>
      <c r="O145" s="14"/>
    </row>
    <row r="146" customFormat="false" ht="15" hidden="false" customHeight="false" outlineLevel="0" collapsed="false">
      <c r="A146" s="7" t="n">
        <v>144</v>
      </c>
      <c r="B146" s="14"/>
      <c r="C146" s="14"/>
      <c r="D146" s="14"/>
      <c r="E146" s="14"/>
      <c r="F146" s="14"/>
      <c r="G146" s="14"/>
      <c r="H146" s="14"/>
      <c r="I146" s="14"/>
      <c r="J146" s="12"/>
      <c r="K146" s="14"/>
      <c r="L146" s="14"/>
      <c r="M146" s="14"/>
      <c r="N146" s="17"/>
      <c r="O146" s="14"/>
    </row>
    <row r="147" customFormat="false" ht="15" hidden="false" customHeight="false" outlineLevel="0" collapsed="false">
      <c r="A147" s="7" t="n">
        <v>145</v>
      </c>
      <c r="B147" s="14"/>
      <c r="C147" s="14"/>
      <c r="D147" s="14"/>
      <c r="E147" s="14"/>
      <c r="F147" s="14"/>
      <c r="G147" s="14"/>
      <c r="H147" s="14"/>
      <c r="I147" s="14"/>
      <c r="J147" s="12"/>
      <c r="K147" s="14"/>
      <c r="L147" s="14"/>
      <c r="M147" s="14"/>
      <c r="N147" s="17"/>
      <c r="O147" s="14"/>
    </row>
    <row r="148" customFormat="false" ht="15" hidden="false" customHeight="false" outlineLevel="0" collapsed="false">
      <c r="A148" s="7" t="n">
        <v>146</v>
      </c>
      <c r="B148" s="14"/>
      <c r="C148" s="14"/>
      <c r="D148" s="14"/>
      <c r="E148" s="14"/>
      <c r="F148" s="14"/>
      <c r="G148" s="14"/>
      <c r="H148" s="14"/>
      <c r="I148" s="14"/>
      <c r="J148" s="12"/>
      <c r="K148" s="14"/>
      <c r="L148" s="14"/>
      <c r="M148" s="14"/>
      <c r="N148" s="17"/>
      <c r="O148" s="14"/>
    </row>
    <row r="149" customFormat="false" ht="15" hidden="false" customHeight="false" outlineLevel="0" collapsed="false">
      <c r="A149" s="7" t="n">
        <v>147</v>
      </c>
      <c r="B149" s="14"/>
      <c r="C149" s="14"/>
      <c r="D149" s="14"/>
      <c r="E149" s="14"/>
      <c r="F149" s="14"/>
      <c r="G149" s="14"/>
      <c r="H149" s="14"/>
      <c r="I149" s="14"/>
      <c r="J149" s="12"/>
      <c r="K149" s="14"/>
      <c r="L149" s="14"/>
      <c r="M149" s="14"/>
      <c r="N149" s="17"/>
      <c r="O149" s="14"/>
    </row>
    <row r="150" customFormat="false" ht="15" hidden="false" customHeight="false" outlineLevel="0" collapsed="false">
      <c r="A150" s="7" t="n">
        <v>148</v>
      </c>
      <c r="B150" s="14"/>
      <c r="C150" s="14"/>
      <c r="D150" s="14"/>
      <c r="E150" s="14"/>
      <c r="F150" s="14"/>
      <c r="G150" s="14"/>
      <c r="H150" s="14"/>
      <c r="I150" s="14"/>
      <c r="J150" s="12"/>
      <c r="K150" s="14"/>
      <c r="L150" s="14"/>
      <c r="M150" s="14"/>
      <c r="N150" s="17"/>
      <c r="O150" s="14"/>
    </row>
    <row r="151" customFormat="false" ht="15" hidden="false" customHeight="false" outlineLevel="0" collapsed="false">
      <c r="A151" s="7" t="n">
        <v>149</v>
      </c>
      <c r="B151" s="14"/>
      <c r="C151" s="14"/>
      <c r="D151" s="14"/>
      <c r="E151" s="14"/>
      <c r="F151" s="14"/>
      <c r="G151" s="14"/>
      <c r="H151" s="14"/>
      <c r="I151" s="14"/>
      <c r="J151" s="12"/>
      <c r="K151" s="14"/>
      <c r="L151" s="14"/>
      <c r="M151" s="14"/>
      <c r="N151" s="17"/>
      <c r="O151" s="14"/>
    </row>
    <row r="152" customFormat="false" ht="15" hidden="false" customHeight="false" outlineLevel="0" collapsed="false">
      <c r="A152" s="7" t="n">
        <v>150</v>
      </c>
      <c r="B152" s="14"/>
      <c r="C152" s="14"/>
      <c r="D152" s="14"/>
      <c r="E152" s="14"/>
      <c r="F152" s="14"/>
      <c r="G152" s="14"/>
      <c r="H152" s="14"/>
      <c r="I152" s="14"/>
      <c r="J152" s="12"/>
      <c r="K152" s="14"/>
      <c r="L152" s="14"/>
      <c r="M152" s="14"/>
      <c r="N152" s="17"/>
      <c r="O152" s="14"/>
    </row>
    <row r="153" customFormat="false" ht="15" hidden="false" customHeight="false" outlineLevel="0" collapsed="false">
      <c r="A153" s="7" t="n">
        <v>151</v>
      </c>
      <c r="B153" s="14"/>
      <c r="C153" s="14"/>
      <c r="D153" s="14"/>
      <c r="E153" s="14"/>
      <c r="F153" s="14"/>
      <c r="G153" s="14"/>
      <c r="H153" s="14"/>
      <c r="I153" s="14"/>
      <c r="J153" s="12"/>
      <c r="K153" s="14"/>
      <c r="L153" s="14"/>
      <c r="M153" s="14"/>
      <c r="N153" s="17"/>
      <c r="O153" s="14"/>
    </row>
    <row r="154" customFormat="false" ht="15" hidden="false" customHeight="false" outlineLevel="0" collapsed="false">
      <c r="A154" s="7" t="n">
        <v>152</v>
      </c>
      <c r="B154" s="14"/>
      <c r="C154" s="14"/>
      <c r="D154" s="14"/>
      <c r="E154" s="14"/>
      <c r="F154" s="14"/>
      <c r="G154" s="14"/>
      <c r="H154" s="14"/>
      <c r="I154" s="14"/>
      <c r="J154" s="12"/>
      <c r="K154" s="14"/>
      <c r="L154" s="14"/>
      <c r="M154" s="14"/>
      <c r="N154" s="17"/>
      <c r="O154" s="14"/>
    </row>
    <row r="155" customFormat="false" ht="15" hidden="false" customHeight="false" outlineLevel="0" collapsed="false">
      <c r="A155" s="7" t="n">
        <v>153</v>
      </c>
      <c r="B155" s="14"/>
      <c r="C155" s="14"/>
      <c r="D155" s="14"/>
      <c r="E155" s="14"/>
      <c r="F155" s="14"/>
      <c r="G155" s="14"/>
      <c r="H155" s="14"/>
      <c r="I155" s="14"/>
      <c r="J155" s="12"/>
      <c r="K155" s="14"/>
      <c r="L155" s="14"/>
      <c r="M155" s="14"/>
      <c r="N155" s="17"/>
      <c r="O155" s="14"/>
    </row>
    <row r="156" customFormat="false" ht="15" hidden="false" customHeight="false" outlineLevel="0" collapsed="false">
      <c r="A156" s="7" t="n">
        <v>154</v>
      </c>
      <c r="B156" s="14"/>
      <c r="C156" s="14"/>
      <c r="D156" s="14"/>
      <c r="E156" s="14"/>
      <c r="F156" s="14"/>
      <c r="G156" s="14"/>
      <c r="H156" s="14"/>
      <c r="I156" s="14"/>
      <c r="J156" s="12"/>
      <c r="K156" s="14"/>
      <c r="L156" s="14"/>
      <c r="M156" s="14"/>
      <c r="N156" s="17"/>
      <c r="O156" s="14"/>
    </row>
    <row r="157" customFormat="false" ht="15" hidden="false" customHeight="false" outlineLevel="0" collapsed="false">
      <c r="A157" s="7" t="n">
        <v>155</v>
      </c>
      <c r="B157" s="14"/>
      <c r="C157" s="14"/>
      <c r="D157" s="14"/>
      <c r="E157" s="14"/>
      <c r="F157" s="14"/>
      <c r="G157" s="14"/>
      <c r="H157" s="14"/>
      <c r="I157" s="14"/>
      <c r="J157" s="12"/>
      <c r="K157" s="14"/>
      <c r="L157" s="14"/>
      <c r="M157" s="14"/>
      <c r="N157" s="17"/>
      <c r="O157" s="14"/>
    </row>
    <row r="158" customFormat="false" ht="15" hidden="false" customHeight="false" outlineLevel="0" collapsed="false">
      <c r="A158" s="7" t="n">
        <v>156</v>
      </c>
      <c r="B158" s="14"/>
      <c r="C158" s="14"/>
      <c r="D158" s="14"/>
      <c r="E158" s="14"/>
      <c r="F158" s="14"/>
      <c r="G158" s="14"/>
      <c r="H158" s="14"/>
      <c r="I158" s="14"/>
      <c r="J158" s="12"/>
      <c r="K158" s="14"/>
      <c r="L158" s="14"/>
      <c r="M158" s="14"/>
      <c r="N158" s="17"/>
      <c r="O158" s="14"/>
    </row>
    <row r="159" customFormat="false" ht="15" hidden="false" customHeight="false" outlineLevel="0" collapsed="false">
      <c r="A159" s="7" t="n">
        <v>157</v>
      </c>
      <c r="B159" s="14"/>
      <c r="C159" s="14"/>
      <c r="D159" s="14"/>
      <c r="E159" s="14"/>
      <c r="F159" s="14"/>
      <c r="G159" s="14"/>
      <c r="H159" s="14"/>
      <c r="I159" s="14"/>
      <c r="J159" s="12"/>
      <c r="K159" s="14"/>
      <c r="L159" s="14"/>
      <c r="M159" s="14"/>
      <c r="N159" s="17"/>
      <c r="O159" s="14"/>
    </row>
    <row r="160" customFormat="false" ht="15" hidden="false" customHeight="false" outlineLevel="0" collapsed="false">
      <c r="A160" s="7" t="n">
        <v>158</v>
      </c>
      <c r="B160" s="14"/>
      <c r="C160" s="14"/>
      <c r="D160" s="14"/>
      <c r="E160" s="14"/>
      <c r="F160" s="14"/>
      <c r="G160" s="14"/>
      <c r="H160" s="14"/>
      <c r="I160" s="14"/>
      <c r="J160" s="12"/>
      <c r="K160" s="14"/>
      <c r="L160" s="14"/>
      <c r="M160" s="14"/>
      <c r="N160" s="17"/>
      <c r="O160" s="14"/>
    </row>
    <row r="161" customFormat="false" ht="15" hidden="false" customHeight="false" outlineLevel="0" collapsed="false">
      <c r="A161" s="7" t="n">
        <v>159</v>
      </c>
      <c r="B161" s="14"/>
      <c r="C161" s="14"/>
      <c r="D161" s="14"/>
      <c r="E161" s="14"/>
      <c r="F161" s="14"/>
      <c r="G161" s="14"/>
      <c r="H161" s="14"/>
      <c r="I161" s="14"/>
      <c r="J161" s="12"/>
      <c r="K161" s="14"/>
      <c r="L161" s="14"/>
      <c r="M161" s="14"/>
      <c r="N161" s="17"/>
      <c r="O161" s="14"/>
    </row>
    <row r="162" customFormat="false" ht="15" hidden="false" customHeight="false" outlineLevel="0" collapsed="false">
      <c r="A162" s="7" t="n">
        <v>160</v>
      </c>
      <c r="B162" s="14"/>
      <c r="C162" s="14"/>
      <c r="D162" s="14"/>
      <c r="E162" s="14"/>
      <c r="F162" s="14"/>
      <c r="G162" s="14"/>
      <c r="H162" s="14"/>
      <c r="I162" s="14"/>
      <c r="J162" s="12"/>
      <c r="K162" s="14"/>
      <c r="L162" s="14"/>
      <c r="M162" s="14"/>
      <c r="N162" s="17"/>
      <c r="O162" s="14"/>
    </row>
    <row r="163" customFormat="false" ht="15" hidden="false" customHeight="false" outlineLevel="0" collapsed="false">
      <c r="A163" s="7" t="n">
        <v>161</v>
      </c>
      <c r="B163" s="14"/>
      <c r="C163" s="14"/>
      <c r="D163" s="14"/>
      <c r="E163" s="14"/>
      <c r="F163" s="14"/>
      <c r="G163" s="14"/>
      <c r="H163" s="14"/>
      <c r="I163" s="14"/>
      <c r="J163" s="12"/>
      <c r="K163" s="14"/>
      <c r="L163" s="14"/>
      <c r="M163" s="14"/>
      <c r="N163" s="17"/>
      <c r="O163" s="14"/>
    </row>
    <row r="164" customFormat="false" ht="15" hidden="false" customHeight="false" outlineLevel="0" collapsed="false">
      <c r="A164" s="7" t="n">
        <v>162</v>
      </c>
      <c r="B164" s="14"/>
      <c r="C164" s="14"/>
      <c r="D164" s="14"/>
      <c r="E164" s="14"/>
      <c r="F164" s="14"/>
      <c r="G164" s="14"/>
      <c r="H164" s="14"/>
      <c r="I164" s="14"/>
      <c r="J164" s="12"/>
      <c r="K164" s="14"/>
      <c r="L164" s="14"/>
      <c r="M164" s="14"/>
      <c r="N164" s="17"/>
      <c r="O164" s="14"/>
    </row>
    <row r="165" customFormat="false" ht="15" hidden="false" customHeight="false" outlineLevel="0" collapsed="false">
      <c r="A165" s="7" t="n">
        <v>163</v>
      </c>
      <c r="B165" s="14"/>
      <c r="C165" s="14"/>
      <c r="D165" s="14"/>
      <c r="E165" s="14"/>
      <c r="F165" s="14"/>
      <c r="G165" s="14"/>
      <c r="H165" s="14"/>
      <c r="I165" s="14"/>
      <c r="J165" s="12"/>
      <c r="K165" s="14"/>
      <c r="L165" s="14"/>
      <c r="M165" s="14"/>
      <c r="N165" s="17"/>
      <c r="O165" s="14"/>
    </row>
    <row r="166" customFormat="false" ht="15" hidden="false" customHeight="false" outlineLevel="0" collapsed="false">
      <c r="A166" s="7" t="n">
        <v>164</v>
      </c>
      <c r="B166" s="14"/>
      <c r="C166" s="14"/>
      <c r="D166" s="14"/>
      <c r="E166" s="14"/>
      <c r="F166" s="14"/>
      <c r="G166" s="14"/>
      <c r="H166" s="14"/>
      <c r="I166" s="14"/>
      <c r="J166" s="12"/>
      <c r="K166" s="14"/>
      <c r="L166" s="14"/>
      <c r="M166" s="14"/>
      <c r="N166" s="17"/>
      <c r="O166" s="14"/>
    </row>
    <row r="167" customFormat="false" ht="15" hidden="false" customHeight="false" outlineLevel="0" collapsed="false">
      <c r="A167" s="7" t="n">
        <v>165</v>
      </c>
      <c r="B167" s="14"/>
      <c r="C167" s="14"/>
      <c r="D167" s="14"/>
      <c r="E167" s="14"/>
      <c r="F167" s="14"/>
      <c r="G167" s="14"/>
      <c r="H167" s="14"/>
      <c r="I167" s="14"/>
      <c r="J167" s="12"/>
      <c r="K167" s="14"/>
      <c r="L167" s="14"/>
      <c r="M167" s="14"/>
      <c r="N167" s="17"/>
      <c r="O167" s="14"/>
    </row>
    <row r="168" customFormat="false" ht="15" hidden="false" customHeight="false" outlineLevel="0" collapsed="false">
      <c r="A168" s="7" t="n">
        <v>166</v>
      </c>
      <c r="B168" s="14"/>
      <c r="C168" s="14"/>
      <c r="D168" s="14"/>
      <c r="E168" s="14"/>
      <c r="F168" s="14"/>
      <c r="G168" s="14"/>
      <c r="H168" s="14"/>
      <c r="I168" s="14"/>
      <c r="J168" s="12"/>
      <c r="K168" s="14"/>
      <c r="L168" s="14"/>
      <c r="M168" s="14"/>
      <c r="N168" s="17"/>
      <c r="O168" s="14"/>
    </row>
    <row r="169" customFormat="false" ht="15" hidden="false" customHeight="false" outlineLevel="0" collapsed="false">
      <c r="A169" s="7" t="n">
        <v>167</v>
      </c>
      <c r="B169" s="14"/>
      <c r="C169" s="14"/>
      <c r="D169" s="14"/>
      <c r="E169" s="14"/>
      <c r="F169" s="14"/>
      <c r="G169" s="14"/>
      <c r="H169" s="14"/>
      <c r="I169" s="14"/>
      <c r="J169" s="12"/>
      <c r="K169" s="14"/>
      <c r="L169" s="14"/>
      <c r="M169" s="14"/>
      <c r="N169" s="17"/>
      <c r="O169" s="14"/>
    </row>
    <row r="170" customFormat="false" ht="15" hidden="false" customHeight="false" outlineLevel="0" collapsed="false">
      <c r="A170" s="7" t="n">
        <v>168</v>
      </c>
      <c r="B170" s="14"/>
      <c r="C170" s="14"/>
      <c r="D170" s="14"/>
      <c r="E170" s="14"/>
      <c r="F170" s="14"/>
      <c r="G170" s="14"/>
      <c r="H170" s="14"/>
      <c r="I170" s="14"/>
      <c r="J170" s="12"/>
      <c r="K170" s="14"/>
      <c r="L170" s="14"/>
      <c r="M170" s="14"/>
      <c r="N170" s="17"/>
      <c r="O170" s="14"/>
    </row>
    <row r="171" customFormat="false" ht="15" hidden="false" customHeight="false" outlineLevel="0" collapsed="false">
      <c r="A171" s="7" t="n">
        <v>169</v>
      </c>
      <c r="B171" s="14"/>
      <c r="C171" s="14"/>
      <c r="D171" s="14"/>
      <c r="E171" s="14"/>
      <c r="F171" s="14"/>
      <c r="G171" s="14"/>
      <c r="H171" s="14"/>
      <c r="I171" s="14"/>
      <c r="J171" s="12"/>
      <c r="K171" s="14"/>
      <c r="L171" s="14"/>
      <c r="M171" s="14"/>
      <c r="N171" s="17"/>
      <c r="O171" s="14"/>
    </row>
    <row r="172" customFormat="false" ht="15" hidden="false" customHeight="false" outlineLevel="0" collapsed="false">
      <c r="A172" s="7" t="n">
        <v>170</v>
      </c>
      <c r="B172" s="14"/>
      <c r="C172" s="14"/>
      <c r="D172" s="14"/>
      <c r="E172" s="14"/>
      <c r="F172" s="14"/>
      <c r="G172" s="14"/>
      <c r="H172" s="14"/>
      <c r="I172" s="14"/>
      <c r="J172" s="12"/>
      <c r="K172" s="14"/>
      <c r="L172" s="14"/>
      <c r="M172" s="14"/>
      <c r="N172" s="17"/>
      <c r="O172" s="14"/>
    </row>
    <row r="173" customFormat="false" ht="15" hidden="false" customHeight="false" outlineLevel="0" collapsed="false">
      <c r="A173" s="7" t="n">
        <v>171</v>
      </c>
      <c r="B173" s="14"/>
      <c r="C173" s="14"/>
      <c r="D173" s="14"/>
      <c r="E173" s="14"/>
      <c r="F173" s="14"/>
      <c r="G173" s="14"/>
      <c r="H173" s="14"/>
      <c r="I173" s="14"/>
      <c r="J173" s="12"/>
      <c r="K173" s="14"/>
      <c r="L173" s="14"/>
      <c r="M173" s="14"/>
      <c r="N173" s="17"/>
      <c r="O173" s="14"/>
    </row>
    <row r="174" customFormat="false" ht="15" hidden="false" customHeight="false" outlineLevel="0" collapsed="false">
      <c r="A174" s="7" t="n">
        <v>172</v>
      </c>
      <c r="B174" s="14"/>
      <c r="C174" s="14"/>
      <c r="D174" s="14"/>
      <c r="E174" s="14"/>
      <c r="F174" s="14"/>
      <c r="G174" s="14"/>
      <c r="H174" s="14"/>
      <c r="I174" s="14"/>
      <c r="J174" s="12"/>
      <c r="K174" s="14"/>
      <c r="L174" s="14"/>
      <c r="M174" s="14"/>
      <c r="N174" s="17"/>
      <c r="O174" s="14"/>
    </row>
    <row r="175" customFormat="false" ht="15" hidden="false" customHeight="false" outlineLevel="0" collapsed="false">
      <c r="A175" s="7" t="n">
        <v>173</v>
      </c>
      <c r="B175" s="14"/>
      <c r="C175" s="14"/>
      <c r="D175" s="14"/>
      <c r="E175" s="14"/>
      <c r="F175" s="14"/>
      <c r="G175" s="14"/>
      <c r="H175" s="14"/>
      <c r="I175" s="14"/>
      <c r="J175" s="12"/>
      <c r="K175" s="14"/>
      <c r="L175" s="14"/>
      <c r="M175" s="14"/>
      <c r="N175" s="17"/>
      <c r="O175" s="14"/>
    </row>
    <row r="176" customFormat="false" ht="15" hidden="false" customHeight="false" outlineLevel="0" collapsed="false">
      <c r="A176" s="7" t="n">
        <v>174</v>
      </c>
      <c r="B176" s="14"/>
      <c r="C176" s="14"/>
      <c r="D176" s="14"/>
      <c r="E176" s="14"/>
      <c r="F176" s="14"/>
      <c r="G176" s="14"/>
      <c r="H176" s="14"/>
      <c r="I176" s="14"/>
      <c r="J176" s="12"/>
      <c r="K176" s="14"/>
      <c r="L176" s="14"/>
      <c r="M176" s="14"/>
      <c r="N176" s="17"/>
      <c r="O176" s="14"/>
    </row>
    <row r="177" customFormat="false" ht="15" hidden="false" customHeight="false" outlineLevel="0" collapsed="false">
      <c r="A177" s="7" t="n">
        <v>175</v>
      </c>
      <c r="B177" s="14"/>
      <c r="C177" s="14"/>
      <c r="D177" s="14"/>
      <c r="E177" s="14"/>
      <c r="F177" s="14"/>
      <c r="G177" s="14"/>
      <c r="H177" s="14"/>
      <c r="I177" s="14"/>
      <c r="J177" s="12"/>
      <c r="K177" s="14"/>
      <c r="L177" s="14"/>
      <c r="M177" s="14"/>
      <c r="N177" s="17"/>
      <c r="O177" s="14"/>
    </row>
    <row r="178" customFormat="false" ht="15" hidden="false" customHeight="false" outlineLevel="0" collapsed="false">
      <c r="A178" s="7" t="n">
        <v>176</v>
      </c>
      <c r="B178" s="14"/>
      <c r="C178" s="14"/>
      <c r="D178" s="14"/>
      <c r="E178" s="14"/>
      <c r="F178" s="14"/>
      <c r="G178" s="14"/>
      <c r="H178" s="14"/>
      <c r="I178" s="14"/>
      <c r="J178" s="12"/>
      <c r="K178" s="14"/>
      <c r="L178" s="14"/>
      <c r="M178" s="14"/>
      <c r="N178" s="17"/>
      <c r="O178" s="14"/>
    </row>
    <row r="179" customFormat="false" ht="15" hidden="false" customHeight="false" outlineLevel="0" collapsed="false">
      <c r="A179" s="7" t="n">
        <v>177</v>
      </c>
      <c r="B179" s="14"/>
      <c r="C179" s="14"/>
      <c r="D179" s="14"/>
      <c r="E179" s="14"/>
      <c r="F179" s="14"/>
      <c r="G179" s="14"/>
      <c r="H179" s="14"/>
      <c r="I179" s="14"/>
      <c r="J179" s="12"/>
      <c r="K179" s="14"/>
      <c r="L179" s="14"/>
      <c r="M179" s="14"/>
      <c r="N179" s="17"/>
      <c r="O179" s="14"/>
    </row>
    <row r="180" customFormat="false" ht="15" hidden="false" customHeight="false" outlineLevel="0" collapsed="false">
      <c r="A180" s="7" t="n">
        <v>178</v>
      </c>
      <c r="B180" s="14"/>
      <c r="C180" s="14"/>
      <c r="D180" s="14"/>
      <c r="E180" s="14"/>
      <c r="F180" s="14"/>
      <c r="G180" s="14"/>
      <c r="H180" s="14"/>
      <c r="I180" s="14"/>
      <c r="J180" s="12"/>
      <c r="K180" s="14"/>
      <c r="L180" s="14"/>
      <c r="M180" s="14"/>
      <c r="N180" s="17"/>
      <c r="O180" s="14"/>
    </row>
    <row r="181" customFormat="false" ht="15" hidden="false" customHeight="false" outlineLevel="0" collapsed="false">
      <c r="A181" s="7" t="n">
        <v>179</v>
      </c>
      <c r="B181" s="14"/>
      <c r="C181" s="14"/>
      <c r="D181" s="14"/>
      <c r="E181" s="14"/>
      <c r="F181" s="14"/>
      <c r="G181" s="14"/>
      <c r="H181" s="14"/>
      <c r="I181" s="14"/>
      <c r="J181" s="12"/>
      <c r="K181" s="14"/>
      <c r="L181" s="14"/>
      <c r="M181" s="14"/>
      <c r="N181" s="17"/>
      <c r="O181" s="14"/>
    </row>
    <row r="182" customFormat="false" ht="15" hidden="false" customHeight="false" outlineLevel="0" collapsed="false">
      <c r="A182" s="7" t="n">
        <v>180</v>
      </c>
      <c r="B182" s="14"/>
      <c r="C182" s="14"/>
      <c r="D182" s="14"/>
      <c r="E182" s="14"/>
      <c r="F182" s="14"/>
      <c r="G182" s="14"/>
      <c r="H182" s="14"/>
      <c r="I182" s="14"/>
      <c r="J182" s="12"/>
      <c r="K182" s="14"/>
      <c r="L182" s="14"/>
      <c r="M182" s="14"/>
      <c r="N182" s="17"/>
      <c r="O182" s="14"/>
    </row>
    <row r="183" customFormat="false" ht="15" hidden="false" customHeight="false" outlineLevel="0" collapsed="false">
      <c r="A183" s="7" t="n">
        <v>181</v>
      </c>
      <c r="B183" s="14"/>
      <c r="C183" s="14"/>
      <c r="D183" s="14"/>
      <c r="E183" s="14"/>
      <c r="F183" s="14"/>
      <c r="G183" s="14"/>
      <c r="H183" s="14"/>
      <c r="I183" s="14"/>
      <c r="J183" s="12"/>
      <c r="K183" s="14"/>
      <c r="L183" s="14"/>
      <c r="M183" s="14"/>
      <c r="N183" s="17"/>
      <c r="O183" s="14"/>
    </row>
    <row r="184" customFormat="false" ht="15" hidden="false" customHeight="false" outlineLevel="0" collapsed="false">
      <c r="A184" s="7" t="n">
        <v>182</v>
      </c>
      <c r="B184" s="14"/>
      <c r="C184" s="14"/>
      <c r="D184" s="14"/>
      <c r="E184" s="14"/>
      <c r="F184" s="14"/>
      <c r="G184" s="14"/>
      <c r="H184" s="14"/>
      <c r="I184" s="14"/>
      <c r="J184" s="12"/>
      <c r="K184" s="14"/>
      <c r="L184" s="14"/>
      <c r="M184" s="14"/>
      <c r="N184" s="17"/>
      <c r="O184" s="14"/>
    </row>
    <row r="185" customFormat="false" ht="15" hidden="false" customHeight="false" outlineLevel="0" collapsed="false">
      <c r="A185" s="7" t="n">
        <v>183</v>
      </c>
      <c r="B185" s="14"/>
      <c r="C185" s="14"/>
      <c r="D185" s="14"/>
      <c r="E185" s="14"/>
      <c r="F185" s="14"/>
      <c r="G185" s="14"/>
      <c r="H185" s="14"/>
      <c r="I185" s="14"/>
      <c r="J185" s="12"/>
      <c r="K185" s="14"/>
      <c r="L185" s="14"/>
      <c r="M185" s="14"/>
      <c r="N185" s="17"/>
      <c r="O185" s="14"/>
    </row>
    <row r="186" customFormat="false" ht="15" hidden="false" customHeight="false" outlineLevel="0" collapsed="false">
      <c r="A186" s="7" t="n">
        <v>184</v>
      </c>
      <c r="B186" s="14"/>
      <c r="C186" s="14"/>
      <c r="D186" s="14"/>
      <c r="E186" s="14"/>
      <c r="F186" s="14"/>
      <c r="G186" s="14"/>
      <c r="H186" s="14"/>
      <c r="I186" s="14"/>
      <c r="J186" s="12"/>
      <c r="K186" s="14"/>
      <c r="L186" s="14"/>
      <c r="M186" s="14"/>
      <c r="N186" s="17"/>
      <c r="O186" s="14"/>
    </row>
    <row r="187" customFormat="false" ht="15" hidden="false" customHeight="false" outlineLevel="0" collapsed="false">
      <c r="A187" s="7" t="n">
        <v>185</v>
      </c>
      <c r="B187" s="14"/>
      <c r="C187" s="14"/>
      <c r="D187" s="14"/>
      <c r="E187" s="14"/>
      <c r="F187" s="14"/>
      <c r="G187" s="14"/>
      <c r="H187" s="14"/>
      <c r="I187" s="14"/>
      <c r="J187" s="12"/>
      <c r="K187" s="14"/>
      <c r="L187" s="14"/>
      <c r="M187" s="14"/>
      <c r="N187" s="17"/>
      <c r="O187" s="14"/>
    </row>
    <row r="188" customFormat="false" ht="15" hidden="false" customHeight="false" outlineLevel="0" collapsed="false">
      <c r="A188" s="7" t="n">
        <v>186</v>
      </c>
      <c r="B188" s="14"/>
      <c r="C188" s="14"/>
      <c r="D188" s="14"/>
      <c r="E188" s="14"/>
      <c r="F188" s="14"/>
      <c r="G188" s="14"/>
      <c r="H188" s="14"/>
      <c r="I188" s="14"/>
      <c r="J188" s="12"/>
      <c r="K188" s="14"/>
      <c r="L188" s="14"/>
      <c r="M188" s="14"/>
      <c r="N188" s="17"/>
      <c r="O188" s="14"/>
    </row>
    <row r="189" customFormat="false" ht="15" hidden="false" customHeight="false" outlineLevel="0" collapsed="false">
      <c r="A189" s="7" t="n">
        <v>187</v>
      </c>
      <c r="B189" s="14"/>
      <c r="C189" s="14"/>
      <c r="D189" s="14"/>
      <c r="E189" s="14"/>
      <c r="F189" s="14"/>
      <c r="G189" s="14"/>
      <c r="H189" s="14"/>
      <c r="I189" s="14"/>
      <c r="J189" s="12"/>
      <c r="K189" s="14"/>
      <c r="L189" s="14"/>
      <c r="M189" s="14"/>
      <c r="N189" s="17"/>
      <c r="O189" s="14"/>
    </row>
    <row r="190" customFormat="false" ht="15" hidden="false" customHeight="false" outlineLevel="0" collapsed="false">
      <c r="A190" s="7" t="n">
        <v>188</v>
      </c>
      <c r="B190" s="14"/>
      <c r="C190" s="14"/>
      <c r="D190" s="14"/>
      <c r="E190" s="14"/>
      <c r="F190" s="14"/>
      <c r="G190" s="14"/>
      <c r="H190" s="14"/>
      <c r="I190" s="14"/>
      <c r="J190" s="12"/>
      <c r="K190" s="14"/>
      <c r="L190" s="14"/>
      <c r="M190" s="14"/>
      <c r="N190" s="17"/>
      <c r="O190" s="14"/>
    </row>
    <row r="191" customFormat="false" ht="15" hidden="false" customHeight="false" outlineLevel="0" collapsed="false">
      <c r="A191" s="7" t="n">
        <v>189</v>
      </c>
      <c r="B191" s="14"/>
      <c r="C191" s="14"/>
      <c r="D191" s="14"/>
      <c r="E191" s="14"/>
      <c r="F191" s="14"/>
      <c r="G191" s="14"/>
      <c r="H191" s="14"/>
      <c r="I191" s="14"/>
      <c r="J191" s="12"/>
      <c r="K191" s="14"/>
      <c r="L191" s="14"/>
      <c r="M191" s="14"/>
      <c r="N191" s="17"/>
      <c r="O191" s="14"/>
    </row>
    <row r="192" customFormat="false" ht="15" hidden="false" customHeight="false" outlineLevel="0" collapsed="false">
      <c r="A192" s="7" t="n">
        <v>190</v>
      </c>
      <c r="B192" s="14"/>
      <c r="C192" s="14"/>
      <c r="D192" s="14"/>
      <c r="E192" s="14"/>
      <c r="F192" s="14"/>
      <c r="G192" s="14"/>
      <c r="H192" s="14"/>
      <c r="I192" s="14"/>
      <c r="J192" s="12"/>
      <c r="K192" s="14"/>
      <c r="L192" s="14"/>
      <c r="M192" s="14"/>
      <c r="N192" s="17"/>
      <c r="O192" s="14"/>
    </row>
    <row r="193" customFormat="false" ht="15" hidden="false" customHeight="false" outlineLevel="0" collapsed="false">
      <c r="A193" s="7" t="n">
        <v>191</v>
      </c>
      <c r="B193" s="14"/>
      <c r="C193" s="14"/>
      <c r="D193" s="14"/>
      <c r="E193" s="14"/>
      <c r="F193" s="14"/>
      <c r="G193" s="14"/>
      <c r="H193" s="14"/>
      <c r="I193" s="14"/>
      <c r="J193" s="12"/>
      <c r="K193" s="14"/>
      <c r="L193" s="14"/>
      <c r="M193" s="14"/>
      <c r="N193" s="17"/>
      <c r="O193" s="14"/>
    </row>
    <row r="194" customFormat="false" ht="15" hidden="false" customHeight="false" outlineLevel="0" collapsed="false">
      <c r="A194" s="7" t="n">
        <v>192</v>
      </c>
      <c r="B194" s="14"/>
      <c r="C194" s="14"/>
      <c r="D194" s="14"/>
      <c r="E194" s="14"/>
      <c r="F194" s="14"/>
      <c r="G194" s="14"/>
      <c r="H194" s="14"/>
      <c r="I194" s="14"/>
      <c r="J194" s="12"/>
      <c r="K194" s="14"/>
      <c r="L194" s="14"/>
      <c r="M194" s="14"/>
      <c r="N194" s="17"/>
      <c r="O194" s="14"/>
    </row>
    <row r="195" customFormat="false" ht="15" hidden="false" customHeight="false" outlineLevel="0" collapsed="false">
      <c r="A195" s="7" t="n">
        <v>193</v>
      </c>
      <c r="B195" s="14"/>
      <c r="C195" s="14"/>
      <c r="D195" s="14"/>
      <c r="E195" s="14"/>
      <c r="F195" s="14"/>
      <c r="G195" s="14"/>
      <c r="H195" s="14"/>
      <c r="I195" s="14"/>
      <c r="J195" s="12"/>
      <c r="K195" s="14"/>
      <c r="L195" s="14"/>
      <c r="M195" s="14"/>
      <c r="N195" s="17"/>
      <c r="O195" s="14"/>
    </row>
    <row r="196" customFormat="false" ht="15" hidden="false" customHeight="false" outlineLevel="0" collapsed="false">
      <c r="A196" s="7" t="n">
        <v>194</v>
      </c>
      <c r="B196" s="14"/>
      <c r="C196" s="14"/>
      <c r="D196" s="14"/>
      <c r="E196" s="14"/>
      <c r="F196" s="14"/>
      <c r="G196" s="14"/>
      <c r="H196" s="14"/>
      <c r="I196" s="14"/>
      <c r="J196" s="12"/>
      <c r="K196" s="14"/>
      <c r="L196" s="14"/>
      <c r="M196" s="14"/>
      <c r="N196" s="17"/>
      <c r="O196" s="14"/>
    </row>
    <row r="197" customFormat="false" ht="15" hidden="false" customHeight="false" outlineLevel="0" collapsed="false">
      <c r="A197" s="7" t="n">
        <v>195</v>
      </c>
      <c r="B197" s="14"/>
      <c r="C197" s="14"/>
      <c r="D197" s="14"/>
      <c r="E197" s="14"/>
      <c r="F197" s="14"/>
      <c r="G197" s="14"/>
      <c r="H197" s="14"/>
      <c r="I197" s="14"/>
      <c r="J197" s="12"/>
      <c r="K197" s="14"/>
      <c r="L197" s="14"/>
      <c r="M197" s="14"/>
      <c r="N197" s="17"/>
      <c r="O197" s="14"/>
    </row>
    <row r="198" customFormat="false" ht="15" hidden="false" customHeight="false" outlineLevel="0" collapsed="false">
      <c r="A198" s="7" t="n">
        <v>196</v>
      </c>
      <c r="B198" s="14"/>
      <c r="C198" s="14"/>
      <c r="D198" s="14"/>
      <c r="E198" s="14"/>
      <c r="F198" s="14"/>
      <c r="G198" s="14"/>
      <c r="H198" s="14"/>
      <c r="I198" s="14"/>
      <c r="J198" s="12"/>
      <c r="K198" s="14"/>
      <c r="L198" s="14"/>
      <c r="M198" s="14"/>
      <c r="N198" s="17"/>
      <c r="O198" s="14"/>
    </row>
    <row r="199" customFormat="false" ht="15" hidden="false" customHeight="false" outlineLevel="0" collapsed="false">
      <c r="A199" s="7" t="n">
        <v>197</v>
      </c>
      <c r="B199" s="14"/>
      <c r="C199" s="14"/>
      <c r="D199" s="14"/>
      <c r="E199" s="14"/>
      <c r="F199" s="14"/>
      <c r="G199" s="14"/>
      <c r="H199" s="14"/>
      <c r="I199" s="14"/>
      <c r="J199" s="12"/>
      <c r="K199" s="14"/>
      <c r="L199" s="14"/>
      <c r="M199" s="14"/>
      <c r="N199" s="17"/>
      <c r="O199" s="14"/>
    </row>
    <row r="200" customFormat="false" ht="15" hidden="false" customHeight="false" outlineLevel="0" collapsed="false">
      <c r="A200" s="7" t="n">
        <v>198</v>
      </c>
      <c r="B200" s="14"/>
      <c r="C200" s="14"/>
      <c r="D200" s="14"/>
      <c r="E200" s="14"/>
      <c r="F200" s="14"/>
      <c r="G200" s="14"/>
      <c r="H200" s="14"/>
      <c r="I200" s="14"/>
      <c r="J200" s="12"/>
      <c r="K200" s="14"/>
      <c r="L200" s="14"/>
      <c r="M200" s="14"/>
      <c r="N200" s="17"/>
      <c r="O200" s="14"/>
    </row>
    <row r="201" customFormat="false" ht="15" hidden="false" customHeight="false" outlineLevel="0" collapsed="false">
      <c r="A201" s="7" t="n">
        <v>199</v>
      </c>
      <c r="B201" s="14"/>
      <c r="C201" s="14"/>
      <c r="D201" s="14"/>
      <c r="E201" s="14"/>
      <c r="F201" s="14"/>
      <c r="G201" s="14"/>
      <c r="H201" s="14"/>
      <c r="I201" s="14"/>
      <c r="J201" s="12"/>
      <c r="K201" s="14"/>
      <c r="L201" s="14"/>
      <c r="M201" s="14"/>
      <c r="N201" s="17"/>
      <c r="O201" s="14"/>
    </row>
    <row r="202" customFormat="false" ht="15" hidden="false" customHeight="false" outlineLevel="0" collapsed="false">
      <c r="A202" s="7" t="n">
        <v>200</v>
      </c>
      <c r="B202" s="14"/>
      <c r="C202" s="14"/>
      <c r="D202" s="14"/>
      <c r="E202" s="14"/>
      <c r="F202" s="14"/>
      <c r="G202" s="14"/>
      <c r="H202" s="14"/>
      <c r="I202" s="14"/>
      <c r="J202" s="12"/>
      <c r="K202" s="14"/>
      <c r="L202" s="14"/>
      <c r="M202" s="14"/>
      <c r="N202" s="17"/>
      <c r="O202" s="14"/>
    </row>
    <row r="203" customFormat="false" ht="15" hidden="false" customHeight="false" outlineLevel="0" collapsed="false">
      <c r="A203" s="7" t="n">
        <v>201</v>
      </c>
      <c r="B203" s="14"/>
      <c r="C203" s="14"/>
      <c r="D203" s="14"/>
      <c r="E203" s="14"/>
      <c r="F203" s="14"/>
      <c r="G203" s="14"/>
      <c r="H203" s="14"/>
      <c r="I203" s="14"/>
      <c r="J203" s="12"/>
      <c r="K203" s="14"/>
      <c r="L203" s="14"/>
      <c r="M203" s="14"/>
      <c r="N203" s="17"/>
      <c r="O203" s="14"/>
    </row>
    <row r="204" customFormat="false" ht="15" hidden="false" customHeight="false" outlineLevel="0" collapsed="false">
      <c r="A204" s="7" t="n">
        <v>202</v>
      </c>
      <c r="B204" s="14"/>
      <c r="C204" s="14"/>
      <c r="D204" s="14"/>
      <c r="E204" s="14"/>
      <c r="F204" s="14"/>
      <c r="G204" s="14"/>
      <c r="H204" s="14"/>
      <c r="I204" s="14"/>
      <c r="J204" s="12"/>
      <c r="K204" s="14"/>
      <c r="L204" s="14"/>
      <c r="M204" s="14"/>
      <c r="N204" s="17"/>
      <c r="O204" s="14"/>
    </row>
    <row r="205" customFormat="false" ht="15" hidden="false" customHeight="false" outlineLevel="0" collapsed="false">
      <c r="A205" s="7" t="n">
        <v>203</v>
      </c>
      <c r="B205" s="14"/>
      <c r="C205" s="14"/>
      <c r="D205" s="14"/>
      <c r="E205" s="14"/>
      <c r="F205" s="14"/>
      <c r="G205" s="14"/>
      <c r="H205" s="14"/>
      <c r="I205" s="14"/>
      <c r="J205" s="12"/>
      <c r="K205" s="14"/>
      <c r="L205" s="14"/>
      <c r="M205" s="14"/>
      <c r="N205" s="17"/>
      <c r="O205" s="14"/>
    </row>
    <row r="206" customFormat="false" ht="15" hidden="false" customHeight="false" outlineLevel="0" collapsed="false">
      <c r="A206" s="7" t="n">
        <v>204</v>
      </c>
      <c r="B206" s="14"/>
      <c r="C206" s="14"/>
      <c r="D206" s="14"/>
      <c r="E206" s="14"/>
      <c r="F206" s="14"/>
      <c r="G206" s="14"/>
      <c r="H206" s="14"/>
      <c r="I206" s="14"/>
      <c r="J206" s="12"/>
      <c r="K206" s="14"/>
      <c r="L206" s="14"/>
      <c r="M206" s="14"/>
      <c r="N206" s="17"/>
      <c r="O206" s="14"/>
    </row>
    <row r="207" customFormat="false" ht="15" hidden="false" customHeight="false" outlineLevel="0" collapsed="false">
      <c r="A207" s="7" t="n">
        <v>205</v>
      </c>
      <c r="B207" s="14"/>
      <c r="C207" s="14"/>
      <c r="D207" s="14"/>
      <c r="E207" s="14"/>
      <c r="F207" s="14"/>
      <c r="G207" s="14"/>
      <c r="H207" s="14"/>
      <c r="I207" s="14"/>
      <c r="J207" s="12"/>
      <c r="K207" s="14"/>
      <c r="L207" s="14"/>
      <c r="M207" s="14"/>
      <c r="N207" s="17"/>
      <c r="O207" s="14"/>
    </row>
    <row r="208" customFormat="false" ht="15" hidden="false" customHeight="false" outlineLevel="0" collapsed="false">
      <c r="A208" s="7" t="n">
        <v>206</v>
      </c>
      <c r="B208" s="14"/>
      <c r="C208" s="14"/>
      <c r="D208" s="14"/>
      <c r="E208" s="14"/>
      <c r="F208" s="14"/>
      <c r="G208" s="14"/>
      <c r="H208" s="14"/>
      <c r="I208" s="14"/>
      <c r="J208" s="12"/>
      <c r="K208" s="14"/>
      <c r="L208" s="14"/>
      <c r="M208" s="14"/>
      <c r="N208" s="17"/>
      <c r="O208" s="14"/>
    </row>
    <row r="209" customFormat="false" ht="15" hidden="false" customHeight="false" outlineLevel="0" collapsed="false">
      <c r="A209" s="7" t="n">
        <v>207</v>
      </c>
      <c r="B209" s="14"/>
      <c r="C209" s="14"/>
      <c r="D209" s="14"/>
      <c r="E209" s="14"/>
      <c r="F209" s="14"/>
      <c r="G209" s="14"/>
      <c r="H209" s="14"/>
      <c r="I209" s="14"/>
      <c r="J209" s="12"/>
      <c r="K209" s="14"/>
      <c r="L209" s="14"/>
      <c r="M209" s="14"/>
      <c r="N209" s="17"/>
      <c r="O209" s="14"/>
    </row>
    <row r="210" customFormat="false" ht="15" hidden="false" customHeight="false" outlineLevel="0" collapsed="false">
      <c r="A210" s="7" t="n">
        <v>208</v>
      </c>
      <c r="B210" s="14"/>
      <c r="C210" s="14"/>
      <c r="D210" s="14"/>
      <c r="E210" s="14"/>
      <c r="F210" s="14"/>
      <c r="G210" s="14"/>
      <c r="H210" s="14"/>
      <c r="I210" s="14"/>
      <c r="J210" s="12"/>
      <c r="K210" s="14"/>
      <c r="L210" s="14"/>
      <c r="M210" s="14"/>
      <c r="N210" s="17"/>
      <c r="O210" s="14"/>
    </row>
    <row r="211" customFormat="false" ht="15" hidden="false" customHeight="false" outlineLevel="0" collapsed="false">
      <c r="A211" s="7" t="n">
        <v>209</v>
      </c>
      <c r="B211" s="14"/>
      <c r="C211" s="14"/>
      <c r="D211" s="14"/>
      <c r="E211" s="14"/>
      <c r="F211" s="14"/>
      <c r="G211" s="14"/>
      <c r="H211" s="14"/>
      <c r="I211" s="14"/>
      <c r="J211" s="12"/>
      <c r="K211" s="14"/>
      <c r="L211" s="14"/>
      <c r="M211" s="14"/>
      <c r="N211" s="17"/>
      <c r="O211" s="14"/>
    </row>
    <row r="212" customFormat="false" ht="15" hidden="false" customHeight="false" outlineLevel="0" collapsed="false">
      <c r="A212" s="7" t="n">
        <v>210</v>
      </c>
      <c r="B212" s="14"/>
      <c r="C212" s="14"/>
      <c r="D212" s="14"/>
      <c r="E212" s="14"/>
      <c r="F212" s="14"/>
      <c r="G212" s="14"/>
      <c r="H212" s="14"/>
      <c r="I212" s="14"/>
      <c r="J212" s="12"/>
      <c r="K212" s="14"/>
      <c r="L212" s="14"/>
      <c r="M212" s="14"/>
      <c r="N212" s="17"/>
      <c r="O212" s="14"/>
    </row>
    <row r="213" customFormat="false" ht="15" hidden="false" customHeight="false" outlineLevel="0" collapsed="false">
      <c r="A213" s="7" t="n">
        <v>211</v>
      </c>
      <c r="B213" s="14"/>
      <c r="C213" s="14"/>
      <c r="D213" s="14"/>
      <c r="E213" s="14"/>
      <c r="F213" s="14"/>
      <c r="G213" s="14"/>
      <c r="H213" s="14"/>
      <c r="I213" s="14"/>
      <c r="J213" s="12"/>
      <c r="K213" s="14"/>
      <c r="L213" s="14"/>
      <c r="M213" s="14"/>
      <c r="N213" s="17"/>
      <c r="O213" s="14"/>
    </row>
    <row r="214" customFormat="false" ht="15" hidden="false" customHeight="false" outlineLevel="0" collapsed="false">
      <c r="A214" s="7" t="n">
        <v>212</v>
      </c>
      <c r="B214" s="14"/>
      <c r="C214" s="14"/>
      <c r="D214" s="14"/>
      <c r="E214" s="14"/>
      <c r="F214" s="14"/>
      <c r="G214" s="14"/>
      <c r="H214" s="14"/>
      <c r="I214" s="14"/>
      <c r="J214" s="12"/>
      <c r="K214" s="14"/>
      <c r="L214" s="14"/>
      <c r="M214" s="14"/>
      <c r="N214" s="17"/>
      <c r="O214" s="14"/>
    </row>
    <row r="215" customFormat="false" ht="15" hidden="false" customHeight="false" outlineLevel="0" collapsed="false">
      <c r="A215" s="7" t="n">
        <v>213</v>
      </c>
      <c r="B215" s="14"/>
      <c r="C215" s="14"/>
      <c r="D215" s="14"/>
      <c r="E215" s="14"/>
      <c r="F215" s="14"/>
      <c r="G215" s="14"/>
      <c r="H215" s="14"/>
      <c r="I215" s="14"/>
      <c r="J215" s="12"/>
      <c r="K215" s="14"/>
      <c r="L215" s="14"/>
      <c r="M215" s="14"/>
      <c r="N215" s="17"/>
      <c r="O215" s="14"/>
    </row>
    <row r="216" customFormat="false" ht="15" hidden="false" customHeight="false" outlineLevel="0" collapsed="false">
      <c r="A216" s="7" t="n">
        <v>214</v>
      </c>
      <c r="B216" s="14"/>
      <c r="C216" s="14"/>
      <c r="D216" s="14"/>
      <c r="E216" s="14"/>
      <c r="F216" s="14"/>
      <c r="G216" s="14"/>
      <c r="H216" s="14"/>
      <c r="I216" s="14"/>
      <c r="J216" s="12"/>
      <c r="K216" s="14"/>
      <c r="L216" s="14"/>
      <c r="M216" s="14"/>
      <c r="N216" s="17"/>
      <c r="O216" s="14"/>
    </row>
    <row r="217" customFormat="false" ht="15" hidden="false" customHeight="false" outlineLevel="0" collapsed="false">
      <c r="A217" s="7" t="n">
        <v>215</v>
      </c>
      <c r="B217" s="14"/>
      <c r="C217" s="14"/>
      <c r="D217" s="14"/>
      <c r="E217" s="14"/>
      <c r="F217" s="14"/>
      <c r="G217" s="14"/>
      <c r="H217" s="14"/>
      <c r="I217" s="14"/>
      <c r="J217" s="12"/>
      <c r="K217" s="14"/>
      <c r="L217" s="14"/>
      <c r="M217" s="14"/>
      <c r="N217" s="17"/>
      <c r="O217" s="14"/>
    </row>
    <row r="218" customFormat="false" ht="15" hidden="false" customHeight="false" outlineLevel="0" collapsed="false">
      <c r="A218" s="7" t="n">
        <v>216</v>
      </c>
      <c r="B218" s="14"/>
      <c r="C218" s="14"/>
      <c r="D218" s="14"/>
      <c r="E218" s="14"/>
      <c r="F218" s="14"/>
      <c r="G218" s="14"/>
      <c r="H218" s="14"/>
      <c r="I218" s="14"/>
      <c r="J218" s="12"/>
      <c r="K218" s="14"/>
      <c r="L218" s="14"/>
      <c r="M218" s="14"/>
      <c r="N218" s="17"/>
      <c r="O218" s="14"/>
    </row>
    <row r="219" customFormat="false" ht="15" hidden="false" customHeight="false" outlineLevel="0" collapsed="false">
      <c r="A219" s="7" t="n">
        <v>217</v>
      </c>
      <c r="B219" s="14"/>
      <c r="C219" s="14"/>
      <c r="D219" s="14"/>
      <c r="E219" s="14"/>
      <c r="F219" s="14"/>
      <c r="G219" s="14"/>
      <c r="H219" s="14"/>
      <c r="I219" s="14"/>
      <c r="J219" s="12"/>
      <c r="K219" s="14"/>
      <c r="L219" s="14"/>
      <c r="M219" s="14"/>
      <c r="N219" s="17"/>
      <c r="O219" s="14"/>
    </row>
    <row r="220" customFormat="false" ht="15" hidden="false" customHeight="false" outlineLevel="0" collapsed="false">
      <c r="A220" s="7" t="n">
        <v>218</v>
      </c>
      <c r="B220" s="14"/>
      <c r="C220" s="14"/>
      <c r="D220" s="14"/>
      <c r="E220" s="14"/>
      <c r="F220" s="14"/>
      <c r="G220" s="14"/>
      <c r="H220" s="14"/>
      <c r="I220" s="14"/>
      <c r="J220" s="12"/>
      <c r="K220" s="14"/>
      <c r="L220" s="14"/>
      <c r="M220" s="14"/>
      <c r="N220" s="17"/>
      <c r="O220" s="14"/>
    </row>
    <row r="221" customFormat="false" ht="15" hidden="false" customHeight="false" outlineLevel="0" collapsed="false">
      <c r="A221" s="7" t="n">
        <v>219</v>
      </c>
      <c r="B221" s="14"/>
      <c r="C221" s="14"/>
      <c r="D221" s="14"/>
      <c r="E221" s="14"/>
      <c r="F221" s="14"/>
      <c r="G221" s="14"/>
      <c r="H221" s="14"/>
      <c r="I221" s="14"/>
      <c r="J221" s="12"/>
      <c r="K221" s="14"/>
      <c r="L221" s="14"/>
      <c r="M221" s="14"/>
      <c r="N221" s="17"/>
      <c r="O221" s="14"/>
    </row>
    <row r="222" customFormat="false" ht="15" hidden="false" customHeight="false" outlineLevel="0" collapsed="false">
      <c r="A222" s="7" t="n">
        <v>220</v>
      </c>
      <c r="B222" s="14"/>
      <c r="C222" s="14"/>
      <c r="D222" s="14"/>
      <c r="E222" s="14"/>
      <c r="F222" s="14"/>
      <c r="G222" s="14"/>
      <c r="H222" s="14"/>
      <c r="I222" s="14"/>
      <c r="J222" s="12"/>
      <c r="K222" s="14"/>
      <c r="L222" s="14"/>
      <c r="M222" s="14"/>
      <c r="N222" s="17"/>
      <c r="O222" s="14"/>
    </row>
    <row r="223" customFormat="false" ht="15" hidden="false" customHeight="false" outlineLevel="0" collapsed="false">
      <c r="A223" s="7" t="n">
        <v>221</v>
      </c>
      <c r="B223" s="14"/>
      <c r="C223" s="14"/>
      <c r="D223" s="14"/>
      <c r="E223" s="14"/>
      <c r="F223" s="14"/>
      <c r="G223" s="14"/>
      <c r="H223" s="14"/>
      <c r="I223" s="14"/>
      <c r="J223" s="12"/>
      <c r="K223" s="14"/>
      <c r="L223" s="14"/>
      <c r="M223" s="14"/>
      <c r="N223" s="17"/>
      <c r="O223" s="14"/>
    </row>
    <row r="224" customFormat="false" ht="15" hidden="false" customHeight="false" outlineLevel="0" collapsed="false">
      <c r="A224" s="7" t="n">
        <v>222</v>
      </c>
      <c r="B224" s="14"/>
      <c r="C224" s="14"/>
      <c r="D224" s="14"/>
      <c r="E224" s="14"/>
      <c r="F224" s="14"/>
      <c r="G224" s="14"/>
      <c r="H224" s="14"/>
      <c r="I224" s="14"/>
      <c r="J224" s="12"/>
      <c r="K224" s="14"/>
      <c r="L224" s="14"/>
      <c r="M224" s="14"/>
      <c r="N224" s="17"/>
      <c r="O224" s="14"/>
    </row>
    <row r="225" customFormat="false" ht="15" hidden="false" customHeight="false" outlineLevel="0" collapsed="false">
      <c r="A225" s="7" t="n">
        <v>223</v>
      </c>
      <c r="B225" s="14"/>
      <c r="C225" s="14"/>
      <c r="D225" s="14"/>
      <c r="E225" s="14"/>
      <c r="F225" s="14"/>
      <c r="G225" s="14"/>
      <c r="H225" s="14"/>
      <c r="I225" s="14"/>
      <c r="J225" s="12"/>
      <c r="K225" s="14"/>
      <c r="L225" s="14"/>
      <c r="M225" s="14"/>
      <c r="N225" s="17"/>
      <c r="O225" s="14"/>
    </row>
    <row r="226" customFormat="false" ht="15" hidden="false" customHeight="false" outlineLevel="0" collapsed="false">
      <c r="A226" s="7" t="n">
        <v>224</v>
      </c>
      <c r="B226" s="14"/>
      <c r="C226" s="14"/>
      <c r="D226" s="14"/>
      <c r="E226" s="14"/>
      <c r="F226" s="14"/>
      <c r="G226" s="14"/>
      <c r="H226" s="14"/>
      <c r="I226" s="14"/>
      <c r="J226" s="12"/>
      <c r="K226" s="14"/>
      <c r="L226" s="14"/>
      <c r="M226" s="14"/>
      <c r="N226" s="17"/>
      <c r="O226" s="14"/>
    </row>
    <row r="227" customFormat="false" ht="15" hidden="false" customHeight="false" outlineLevel="0" collapsed="false">
      <c r="A227" s="7" t="n">
        <v>225</v>
      </c>
      <c r="B227" s="14"/>
      <c r="C227" s="14"/>
      <c r="D227" s="14"/>
      <c r="E227" s="14"/>
      <c r="F227" s="14"/>
      <c r="G227" s="14"/>
      <c r="H227" s="14"/>
      <c r="I227" s="14"/>
      <c r="J227" s="12"/>
      <c r="K227" s="14"/>
      <c r="L227" s="14"/>
      <c r="M227" s="14"/>
      <c r="N227" s="17"/>
      <c r="O227" s="14"/>
    </row>
    <row r="228" customFormat="false" ht="15" hidden="false" customHeight="false" outlineLevel="0" collapsed="false">
      <c r="A228" s="7" t="n">
        <v>226</v>
      </c>
      <c r="B228" s="14"/>
      <c r="C228" s="14"/>
      <c r="D228" s="14"/>
      <c r="E228" s="14"/>
      <c r="F228" s="14"/>
      <c r="G228" s="14"/>
      <c r="H228" s="14"/>
      <c r="I228" s="14"/>
      <c r="J228" s="12"/>
      <c r="K228" s="14"/>
      <c r="L228" s="14"/>
      <c r="M228" s="14"/>
      <c r="N228" s="17"/>
      <c r="O228" s="14"/>
    </row>
    <row r="229" customFormat="false" ht="15" hidden="false" customHeight="false" outlineLevel="0" collapsed="false">
      <c r="A229" s="7" t="n">
        <v>227</v>
      </c>
      <c r="B229" s="14"/>
      <c r="C229" s="14"/>
      <c r="D229" s="14"/>
      <c r="E229" s="14"/>
      <c r="F229" s="14"/>
      <c r="G229" s="14"/>
      <c r="H229" s="14"/>
      <c r="I229" s="14"/>
      <c r="J229" s="12"/>
      <c r="K229" s="14"/>
      <c r="L229" s="14"/>
      <c r="M229" s="14"/>
      <c r="N229" s="17"/>
      <c r="O229" s="14"/>
    </row>
    <row r="230" customFormat="false" ht="15" hidden="false" customHeight="false" outlineLevel="0" collapsed="false">
      <c r="A230" s="7" t="n">
        <v>228</v>
      </c>
      <c r="B230" s="14"/>
      <c r="C230" s="14"/>
      <c r="D230" s="14"/>
      <c r="E230" s="14"/>
      <c r="F230" s="14"/>
      <c r="G230" s="14"/>
      <c r="H230" s="14"/>
      <c r="I230" s="14"/>
      <c r="J230" s="12"/>
      <c r="K230" s="14"/>
      <c r="L230" s="14"/>
      <c r="M230" s="14"/>
      <c r="N230" s="17"/>
      <c r="O230" s="14"/>
    </row>
    <row r="231" customFormat="false" ht="15" hidden="false" customHeight="false" outlineLevel="0" collapsed="false">
      <c r="A231" s="7" t="n">
        <v>229</v>
      </c>
      <c r="B231" s="14"/>
      <c r="C231" s="14"/>
      <c r="D231" s="14"/>
      <c r="E231" s="14"/>
      <c r="F231" s="14"/>
      <c r="G231" s="14"/>
      <c r="H231" s="14"/>
      <c r="I231" s="14"/>
      <c r="J231" s="12"/>
      <c r="K231" s="14"/>
      <c r="L231" s="14"/>
      <c r="M231" s="14"/>
      <c r="N231" s="17"/>
      <c r="O231" s="14"/>
    </row>
    <row r="232" customFormat="false" ht="15" hidden="false" customHeight="false" outlineLevel="0" collapsed="false">
      <c r="A232" s="7" t="n">
        <v>230</v>
      </c>
      <c r="B232" s="14"/>
      <c r="C232" s="14"/>
      <c r="D232" s="14"/>
      <c r="E232" s="14"/>
      <c r="F232" s="14"/>
      <c r="G232" s="14"/>
      <c r="H232" s="14"/>
      <c r="I232" s="14"/>
      <c r="J232" s="12"/>
      <c r="K232" s="14"/>
      <c r="L232" s="14"/>
      <c r="M232" s="14"/>
      <c r="N232" s="17"/>
      <c r="O232" s="14"/>
    </row>
    <row r="233" customFormat="false" ht="15" hidden="false" customHeight="false" outlineLevel="0" collapsed="false">
      <c r="A233" s="7" t="n">
        <v>231</v>
      </c>
      <c r="B233" s="14"/>
      <c r="C233" s="14"/>
      <c r="D233" s="14"/>
      <c r="E233" s="14"/>
      <c r="F233" s="14"/>
      <c r="G233" s="14"/>
      <c r="H233" s="14"/>
      <c r="I233" s="14"/>
      <c r="J233" s="12"/>
      <c r="K233" s="14"/>
      <c r="L233" s="14"/>
      <c r="M233" s="14"/>
      <c r="N233" s="17"/>
      <c r="O233" s="14"/>
    </row>
    <row r="234" customFormat="false" ht="15" hidden="false" customHeight="false" outlineLevel="0" collapsed="false">
      <c r="A234" s="7" t="n">
        <v>232</v>
      </c>
      <c r="B234" s="14"/>
      <c r="C234" s="14"/>
      <c r="D234" s="14"/>
      <c r="E234" s="14"/>
      <c r="F234" s="14"/>
      <c r="G234" s="14"/>
      <c r="H234" s="14"/>
      <c r="I234" s="14"/>
      <c r="J234" s="12"/>
      <c r="K234" s="14"/>
      <c r="L234" s="14"/>
      <c r="M234" s="14"/>
      <c r="N234" s="17"/>
      <c r="O234" s="14"/>
    </row>
    <row r="235" customFormat="false" ht="15" hidden="false" customHeight="false" outlineLevel="0" collapsed="false">
      <c r="A235" s="7" t="n">
        <v>233</v>
      </c>
      <c r="B235" s="14"/>
      <c r="C235" s="14"/>
      <c r="D235" s="14"/>
      <c r="E235" s="14"/>
      <c r="F235" s="14"/>
      <c r="G235" s="14"/>
      <c r="H235" s="14"/>
      <c r="I235" s="14"/>
      <c r="J235" s="12"/>
      <c r="K235" s="14"/>
      <c r="L235" s="14"/>
      <c r="M235" s="14"/>
      <c r="N235" s="17"/>
      <c r="O235" s="14"/>
    </row>
    <row r="236" customFormat="false" ht="15" hidden="false" customHeight="false" outlineLevel="0" collapsed="false">
      <c r="A236" s="7" t="n">
        <v>234</v>
      </c>
      <c r="B236" s="14"/>
      <c r="C236" s="14"/>
      <c r="D236" s="14"/>
      <c r="E236" s="14"/>
      <c r="F236" s="14"/>
      <c r="G236" s="14"/>
      <c r="H236" s="14"/>
      <c r="I236" s="14"/>
      <c r="J236" s="12"/>
      <c r="K236" s="14"/>
      <c r="L236" s="14"/>
      <c r="M236" s="14"/>
      <c r="N236" s="17"/>
      <c r="O236" s="14"/>
    </row>
    <row r="237" customFormat="false" ht="15" hidden="false" customHeight="false" outlineLevel="0" collapsed="false">
      <c r="A237" s="7" t="n">
        <v>235</v>
      </c>
      <c r="B237" s="14"/>
      <c r="C237" s="14"/>
      <c r="D237" s="14"/>
      <c r="E237" s="14"/>
      <c r="F237" s="14"/>
      <c r="G237" s="14"/>
      <c r="H237" s="14"/>
      <c r="I237" s="14"/>
      <c r="J237" s="12"/>
      <c r="K237" s="14"/>
      <c r="L237" s="14"/>
      <c r="M237" s="14"/>
      <c r="N237" s="17"/>
      <c r="O237" s="14"/>
    </row>
    <row r="238" customFormat="false" ht="15" hidden="false" customHeight="false" outlineLevel="0" collapsed="false">
      <c r="A238" s="7" t="n">
        <v>236</v>
      </c>
      <c r="B238" s="14"/>
      <c r="C238" s="14"/>
      <c r="D238" s="14"/>
      <c r="E238" s="14"/>
      <c r="F238" s="14"/>
      <c r="G238" s="14"/>
      <c r="H238" s="14"/>
      <c r="I238" s="14"/>
      <c r="J238" s="12"/>
      <c r="K238" s="14"/>
      <c r="L238" s="14"/>
      <c r="M238" s="14"/>
      <c r="N238" s="17"/>
      <c r="O238" s="14"/>
    </row>
    <row r="239" customFormat="false" ht="15" hidden="false" customHeight="false" outlineLevel="0" collapsed="false">
      <c r="A239" s="7" t="n">
        <v>237</v>
      </c>
      <c r="B239" s="14"/>
      <c r="C239" s="14"/>
      <c r="D239" s="14"/>
      <c r="E239" s="14"/>
      <c r="F239" s="14"/>
      <c r="G239" s="14"/>
      <c r="H239" s="14"/>
      <c r="I239" s="14"/>
      <c r="J239" s="12"/>
      <c r="K239" s="14"/>
      <c r="L239" s="14"/>
      <c r="M239" s="14"/>
      <c r="N239" s="17"/>
      <c r="O239" s="14"/>
    </row>
    <row r="240" customFormat="false" ht="15" hidden="false" customHeight="false" outlineLevel="0" collapsed="false">
      <c r="A240" s="7" t="n">
        <v>238</v>
      </c>
      <c r="B240" s="14"/>
      <c r="C240" s="14"/>
      <c r="D240" s="14"/>
      <c r="E240" s="14"/>
      <c r="F240" s="14"/>
      <c r="G240" s="14"/>
      <c r="H240" s="14"/>
      <c r="I240" s="14"/>
      <c r="J240" s="12"/>
      <c r="K240" s="14"/>
      <c r="L240" s="14"/>
      <c r="M240" s="14"/>
      <c r="N240" s="17"/>
      <c r="O240" s="14"/>
    </row>
    <row r="241" customFormat="false" ht="15" hidden="false" customHeight="false" outlineLevel="0" collapsed="false">
      <c r="A241" s="7" t="n">
        <v>239</v>
      </c>
      <c r="B241" s="14"/>
      <c r="C241" s="14"/>
      <c r="D241" s="14"/>
      <c r="E241" s="14"/>
      <c r="F241" s="14"/>
      <c r="G241" s="14"/>
      <c r="H241" s="14"/>
      <c r="I241" s="14"/>
      <c r="J241" s="12"/>
      <c r="K241" s="14"/>
      <c r="L241" s="14"/>
      <c r="M241" s="14"/>
      <c r="N241" s="17"/>
      <c r="O241" s="14"/>
    </row>
    <row r="242" customFormat="false" ht="15" hidden="false" customHeight="false" outlineLevel="0" collapsed="false">
      <c r="A242" s="7" t="n">
        <v>240</v>
      </c>
      <c r="B242" s="14"/>
      <c r="C242" s="14"/>
      <c r="D242" s="14"/>
      <c r="E242" s="14"/>
      <c r="F242" s="14"/>
      <c r="G242" s="14"/>
      <c r="H242" s="14"/>
      <c r="I242" s="14"/>
      <c r="J242" s="12"/>
      <c r="K242" s="14"/>
      <c r="L242" s="14"/>
      <c r="M242" s="14"/>
      <c r="N242" s="17"/>
      <c r="O242" s="14"/>
    </row>
    <row r="243" customFormat="false" ht="15" hidden="false" customHeight="false" outlineLevel="0" collapsed="false">
      <c r="A243" s="7" t="n">
        <v>241</v>
      </c>
      <c r="B243" s="14"/>
      <c r="C243" s="14"/>
      <c r="D243" s="14"/>
      <c r="E243" s="14"/>
      <c r="F243" s="14"/>
      <c r="G243" s="14"/>
      <c r="H243" s="14"/>
      <c r="I243" s="14"/>
      <c r="J243" s="12"/>
      <c r="K243" s="14"/>
      <c r="L243" s="14"/>
      <c r="M243" s="14"/>
      <c r="N243" s="17"/>
      <c r="O243" s="14"/>
    </row>
    <row r="244" customFormat="false" ht="15" hidden="false" customHeight="false" outlineLevel="0" collapsed="false">
      <c r="A244" s="7" t="n">
        <v>242</v>
      </c>
      <c r="B244" s="14"/>
      <c r="C244" s="14"/>
      <c r="D244" s="14"/>
      <c r="E244" s="14"/>
      <c r="F244" s="14"/>
      <c r="G244" s="14"/>
      <c r="H244" s="14"/>
      <c r="I244" s="14"/>
      <c r="J244" s="12"/>
      <c r="K244" s="14"/>
      <c r="L244" s="14"/>
      <c r="M244" s="14"/>
      <c r="N244" s="17"/>
      <c r="O244" s="14"/>
    </row>
    <row r="245" customFormat="false" ht="15" hidden="false" customHeight="false" outlineLevel="0" collapsed="false">
      <c r="A245" s="7" t="n">
        <v>243</v>
      </c>
      <c r="B245" s="14"/>
      <c r="C245" s="14"/>
      <c r="D245" s="14"/>
      <c r="E245" s="14"/>
      <c r="F245" s="14"/>
      <c r="G245" s="14"/>
      <c r="H245" s="14"/>
      <c r="I245" s="14"/>
      <c r="J245" s="12"/>
      <c r="K245" s="14"/>
      <c r="L245" s="14"/>
      <c r="M245" s="14"/>
      <c r="N245" s="17"/>
      <c r="O245" s="14"/>
    </row>
    <row r="246" customFormat="false" ht="15" hidden="false" customHeight="false" outlineLevel="0" collapsed="false">
      <c r="A246" s="7" t="n">
        <v>244</v>
      </c>
      <c r="B246" s="14"/>
      <c r="C246" s="14"/>
      <c r="D246" s="14"/>
      <c r="E246" s="14"/>
      <c r="F246" s="14"/>
      <c r="G246" s="14"/>
      <c r="H246" s="14"/>
      <c r="I246" s="14"/>
      <c r="J246" s="12"/>
      <c r="K246" s="14"/>
      <c r="L246" s="14"/>
      <c r="M246" s="14"/>
      <c r="N246" s="17"/>
      <c r="O246" s="14"/>
    </row>
    <row r="247" customFormat="false" ht="15" hidden="false" customHeight="false" outlineLevel="0" collapsed="false">
      <c r="A247" s="7" t="n">
        <v>245</v>
      </c>
      <c r="B247" s="14"/>
      <c r="C247" s="14"/>
      <c r="D247" s="14"/>
      <c r="E247" s="14"/>
      <c r="F247" s="14"/>
      <c r="G247" s="14"/>
      <c r="H247" s="14"/>
      <c r="I247" s="14"/>
      <c r="J247" s="12"/>
      <c r="K247" s="14"/>
      <c r="L247" s="14"/>
      <c r="M247" s="14"/>
      <c r="N247" s="17"/>
      <c r="O247" s="14"/>
    </row>
    <row r="248" customFormat="false" ht="15" hidden="false" customHeight="false" outlineLevel="0" collapsed="false">
      <c r="A248" s="7" t="n">
        <v>246</v>
      </c>
      <c r="B248" s="14"/>
      <c r="C248" s="14"/>
      <c r="D248" s="14"/>
      <c r="E248" s="14"/>
      <c r="F248" s="14"/>
      <c r="G248" s="14"/>
      <c r="H248" s="14"/>
      <c r="I248" s="14"/>
      <c r="J248" s="12"/>
      <c r="K248" s="14"/>
      <c r="L248" s="14"/>
      <c r="M248" s="14"/>
      <c r="N248" s="17"/>
      <c r="O248" s="14"/>
    </row>
    <row r="249" customFormat="false" ht="15" hidden="false" customHeight="false" outlineLevel="0" collapsed="false">
      <c r="A249" s="7" t="n">
        <v>247</v>
      </c>
      <c r="B249" s="14"/>
      <c r="C249" s="14"/>
      <c r="D249" s="14"/>
      <c r="E249" s="14"/>
      <c r="F249" s="14"/>
      <c r="G249" s="14"/>
      <c r="H249" s="14"/>
      <c r="I249" s="14"/>
      <c r="J249" s="12"/>
      <c r="K249" s="14"/>
      <c r="L249" s="14"/>
      <c r="M249" s="14"/>
      <c r="N249" s="17"/>
      <c r="O249" s="14"/>
    </row>
    <row r="250" customFormat="false" ht="15" hidden="false" customHeight="false" outlineLevel="0" collapsed="false">
      <c r="A250" s="7" t="n">
        <v>248</v>
      </c>
      <c r="B250" s="14"/>
      <c r="C250" s="14"/>
      <c r="D250" s="14"/>
      <c r="E250" s="14"/>
      <c r="F250" s="14"/>
      <c r="G250" s="14"/>
      <c r="H250" s="14"/>
      <c r="I250" s="14"/>
      <c r="J250" s="12"/>
      <c r="K250" s="14"/>
      <c r="L250" s="14"/>
      <c r="M250" s="14"/>
      <c r="N250" s="17"/>
      <c r="O250" s="14"/>
    </row>
    <row r="251" customFormat="false" ht="15" hidden="false" customHeight="false" outlineLevel="0" collapsed="false">
      <c r="A251" s="7" t="n">
        <v>249</v>
      </c>
      <c r="B251" s="14"/>
      <c r="C251" s="14"/>
      <c r="D251" s="14"/>
      <c r="E251" s="14"/>
      <c r="F251" s="14"/>
      <c r="G251" s="14"/>
      <c r="H251" s="14"/>
      <c r="I251" s="14"/>
      <c r="J251" s="12"/>
      <c r="K251" s="14"/>
      <c r="L251" s="14"/>
      <c r="M251" s="14"/>
      <c r="N251" s="17"/>
      <c r="O251" s="14"/>
    </row>
    <row r="252" customFormat="false" ht="15" hidden="false" customHeight="false" outlineLevel="0" collapsed="false">
      <c r="A252" s="7" t="n">
        <v>250</v>
      </c>
      <c r="B252" s="14"/>
      <c r="C252" s="14"/>
      <c r="D252" s="14"/>
      <c r="E252" s="14"/>
      <c r="F252" s="14"/>
      <c r="G252" s="14"/>
      <c r="H252" s="14"/>
      <c r="I252" s="14"/>
      <c r="J252" s="12"/>
      <c r="K252" s="14"/>
      <c r="L252" s="14"/>
      <c r="M252" s="14"/>
      <c r="N252" s="17"/>
      <c r="O252" s="14"/>
    </row>
    <row r="253" customFormat="false" ht="15" hidden="false" customHeight="false" outlineLevel="0" collapsed="false">
      <c r="A253" s="7" t="n">
        <v>251</v>
      </c>
      <c r="B253" s="14"/>
      <c r="C253" s="14"/>
      <c r="D253" s="14"/>
      <c r="E253" s="14"/>
      <c r="F253" s="14"/>
      <c r="G253" s="14"/>
      <c r="H253" s="14"/>
      <c r="I253" s="14"/>
      <c r="J253" s="12"/>
      <c r="K253" s="14"/>
      <c r="L253" s="14"/>
      <c r="M253" s="14"/>
      <c r="N253" s="17"/>
      <c r="O253" s="14"/>
    </row>
    <row r="254" customFormat="false" ht="15" hidden="false" customHeight="false" outlineLevel="0" collapsed="false">
      <c r="A254" s="7" t="n">
        <v>252</v>
      </c>
      <c r="B254" s="14"/>
      <c r="C254" s="14"/>
      <c r="D254" s="14"/>
      <c r="E254" s="14"/>
      <c r="F254" s="14"/>
      <c r="G254" s="14"/>
      <c r="H254" s="14"/>
      <c r="I254" s="14"/>
      <c r="J254" s="12"/>
      <c r="K254" s="14"/>
      <c r="L254" s="14"/>
      <c r="M254" s="14"/>
      <c r="N254" s="17"/>
      <c r="O254" s="14"/>
    </row>
    <row r="255" customFormat="false" ht="15" hidden="false" customHeight="false" outlineLevel="0" collapsed="false">
      <c r="A255" s="7" t="n">
        <v>253</v>
      </c>
      <c r="B255" s="14"/>
      <c r="C255" s="14"/>
      <c r="D255" s="14"/>
      <c r="E255" s="14"/>
      <c r="F255" s="14"/>
      <c r="G255" s="14"/>
      <c r="H255" s="14"/>
      <c r="I255" s="14"/>
      <c r="J255" s="12"/>
      <c r="K255" s="14"/>
      <c r="L255" s="14"/>
      <c r="M255" s="14"/>
      <c r="N255" s="17"/>
      <c r="O255" s="14"/>
    </row>
    <row r="256" customFormat="false" ht="15" hidden="false" customHeight="false" outlineLevel="0" collapsed="false">
      <c r="A256" s="7" t="n">
        <v>254</v>
      </c>
      <c r="B256" s="14"/>
      <c r="C256" s="14"/>
      <c r="D256" s="14"/>
      <c r="E256" s="14"/>
      <c r="F256" s="14"/>
      <c r="G256" s="14"/>
      <c r="H256" s="14"/>
      <c r="I256" s="14"/>
      <c r="J256" s="12"/>
      <c r="K256" s="14"/>
      <c r="L256" s="14"/>
      <c r="M256" s="14"/>
      <c r="N256" s="17"/>
      <c r="O256" s="14"/>
    </row>
    <row r="257" customFormat="false" ht="15" hidden="false" customHeight="false" outlineLevel="0" collapsed="false">
      <c r="A257" s="7" t="n">
        <v>255</v>
      </c>
      <c r="B257" s="14"/>
      <c r="C257" s="14"/>
      <c r="D257" s="14"/>
      <c r="E257" s="14"/>
      <c r="F257" s="14"/>
      <c r="G257" s="14"/>
      <c r="H257" s="14"/>
      <c r="I257" s="14"/>
      <c r="J257" s="12"/>
      <c r="K257" s="14"/>
      <c r="L257" s="14"/>
      <c r="M257" s="14"/>
      <c r="N257" s="17"/>
      <c r="O257" s="14"/>
    </row>
    <row r="258" customFormat="false" ht="15" hidden="false" customHeight="false" outlineLevel="0" collapsed="false">
      <c r="A258" s="7" t="n">
        <v>256</v>
      </c>
      <c r="B258" s="14"/>
      <c r="C258" s="14"/>
      <c r="D258" s="14"/>
      <c r="E258" s="14"/>
      <c r="F258" s="14"/>
      <c r="G258" s="14"/>
      <c r="H258" s="14"/>
      <c r="I258" s="14"/>
      <c r="J258" s="12"/>
      <c r="K258" s="14"/>
      <c r="L258" s="14"/>
      <c r="M258" s="14"/>
      <c r="N258" s="17"/>
      <c r="O258" s="14"/>
    </row>
    <row r="259" customFormat="false" ht="15" hidden="false" customHeight="false" outlineLevel="0" collapsed="false">
      <c r="A259" s="7" t="n">
        <v>257</v>
      </c>
      <c r="B259" s="14"/>
      <c r="C259" s="14"/>
      <c r="D259" s="14"/>
      <c r="E259" s="14"/>
      <c r="F259" s="14"/>
      <c r="G259" s="14"/>
      <c r="H259" s="14"/>
      <c r="I259" s="14"/>
      <c r="J259" s="12"/>
      <c r="K259" s="14"/>
      <c r="L259" s="14"/>
      <c r="M259" s="14"/>
      <c r="N259" s="17"/>
      <c r="O259" s="14"/>
    </row>
    <row r="260" customFormat="false" ht="15" hidden="false" customHeight="false" outlineLevel="0" collapsed="false">
      <c r="A260" s="7" t="n">
        <v>258</v>
      </c>
      <c r="B260" s="14"/>
      <c r="C260" s="14"/>
      <c r="D260" s="14"/>
      <c r="E260" s="14"/>
      <c r="F260" s="14"/>
      <c r="G260" s="14"/>
      <c r="H260" s="14"/>
      <c r="I260" s="14"/>
      <c r="J260" s="12"/>
      <c r="K260" s="14"/>
      <c r="L260" s="14"/>
      <c r="M260" s="14"/>
      <c r="N260" s="17"/>
      <c r="O260" s="14"/>
    </row>
    <row r="261" customFormat="false" ht="15" hidden="false" customHeight="false" outlineLevel="0" collapsed="false">
      <c r="A261" s="7" t="n">
        <v>259</v>
      </c>
      <c r="B261" s="14"/>
      <c r="C261" s="14"/>
      <c r="D261" s="14"/>
      <c r="E261" s="14"/>
      <c r="F261" s="14"/>
      <c r="G261" s="14"/>
      <c r="H261" s="14"/>
      <c r="I261" s="14"/>
      <c r="J261" s="12"/>
      <c r="K261" s="14"/>
      <c r="L261" s="14"/>
      <c r="M261" s="14"/>
      <c r="N261" s="17"/>
      <c r="O261" s="14"/>
    </row>
    <row r="262" customFormat="false" ht="15" hidden="false" customHeight="false" outlineLevel="0" collapsed="false">
      <c r="A262" s="7" t="n">
        <v>260</v>
      </c>
      <c r="B262" s="14"/>
      <c r="C262" s="14"/>
      <c r="D262" s="14"/>
      <c r="E262" s="14"/>
      <c r="F262" s="14"/>
      <c r="G262" s="14"/>
      <c r="H262" s="14"/>
      <c r="I262" s="14"/>
      <c r="J262" s="12"/>
      <c r="K262" s="14"/>
      <c r="L262" s="14"/>
      <c r="M262" s="14"/>
      <c r="N262" s="17"/>
      <c r="O262" s="14"/>
    </row>
    <row r="263" customFormat="false" ht="15" hidden="false" customHeight="false" outlineLevel="0" collapsed="false">
      <c r="A263" s="7" t="n">
        <v>261</v>
      </c>
      <c r="B263" s="14"/>
      <c r="C263" s="14"/>
      <c r="D263" s="14"/>
      <c r="E263" s="14"/>
      <c r="F263" s="14"/>
      <c r="G263" s="14"/>
      <c r="H263" s="14"/>
      <c r="I263" s="14"/>
      <c r="J263" s="12"/>
      <c r="K263" s="14"/>
      <c r="L263" s="14"/>
      <c r="M263" s="14"/>
      <c r="N263" s="17"/>
      <c r="O263" s="14"/>
    </row>
    <row r="264" customFormat="false" ht="15" hidden="false" customHeight="false" outlineLevel="0" collapsed="false">
      <c r="A264" s="7" t="n">
        <v>262</v>
      </c>
      <c r="B264" s="14"/>
      <c r="C264" s="14"/>
      <c r="D264" s="14"/>
      <c r="E264" s="14"/>
      <c r="F264" s="14"/>
      <c r="G264" s="14"/>
      <c r="H264" s="14"/>
      <c r="I264" s="14"/>
      <c r="J264" s="12"/>
      <c r="K264" s="14"/>
      <c r="L264" s="14"/>
      <c r="M264" s="14"/>
      <c r="N264" s="17"/>
      <c r="O264" s="14"/>
    </row>
    <row r="265" customFormat="false" ht="15" hidden="false" customHeight="false" outlineLevel="0" collapsed="false">
      <c r="A265" s="7" t="n">
        <v>263</v>
      </c>
      <c r="B265" s="14"/>
      <c r="C265" s="14"/>
      <c r="D265" s="14"/>
      <c r="E265" s="14"/>
      <c r="F265" s="14"/>
      <c r="G265" s="14"/>
      <c r="H265" s="14"/>
      <c r="I265" s="14"/>
      <c r="J265" s="12"/>
      <c r="K265" s="14"/>
      <c r="L265" s="14"/>
      <c r="M265" s="14"/>
      <c r="N265" s="17"/>
      <c r="O265" s="14"/>
    </row>
    <row r="266" customFormat="false" ht="15" hidden="false" customHeight="false" outlineLevel="0" collapsed="false">
      <c r="A266" s="7" t="n">
        <v>264</v>
      </c>
      <c r="B266" s="14"/>
      <c r="C266" s="14"/>
      <c r="D266" s="14"/>
      <c r="E266" s="14"/>
      <c r="F266" s="14"/>
      <c r="G266" s="14"/>
      <c r="H266" s="14"/>
      <c r="I266" s="14"/>
      <c r="J266" s="12"/>
      <c r="K266" s="14"/>
      <c r="L266" s="14"/>
      <c r="M266" s="14"/>
      <c r="N266" s="17"/>
      <c r="O266" s="14"/>
    </row>
    <row r="267" customFormat="false" ht="15" hidden="false" customHeight="false" outlineLevel="0" collapsed="false">
      <c r="A267" s="7" t="n">
        <v>265</v>
      </c>
      <c r="B267" s="14"/>
      <c r="C267" s="14"/>
      <c r="D267" s="14"/>
      <c r="E267" s="14"/>
      <c r="F267" s="14"/>
      <c r="G267" s="14"/>
      <c r="H267" s="14"/>
      <c r="I267" s="14"/>
      <c r="J267" s="12"/>
      <c r="K267" s="14"/>
      <c r="L267" s="14"/>
      <c r="M267" s="14"/>
      <c r="N267" s="17"/>
      <c r="O267" s="14"/>
    </row>
    <row r="268" customFormat="false" ht="15" hidden="false" customHeight="false" outlineLevel="0" collapsed="false">
      <c r="A268" s="7" t="n">
        <v>266</v>
      </c>
      <c r="B268" s="14"/>
      <c r="C268" s="14"/>
      <c r="D268" s="14"/>
      <c r="E268" s="14"/>
      <c r="F268" s="14"/>
      <c r="G268" s="14"/>
      <c r="H268" s="14"/>
      <c r="I268" s="14"/>
      <c r="J268" s="12"/>
      <c r="K268" s="14"/>
      <c r="L268" s="14"/>
      <c r="M268" s="14"/>
      <c r="N268" s="17"/>
      <c r="O268" s="14"/>
    </row>
    <row r="269" customFormat="false" ht="15" hidden="false" customHeight="false" outlineLevel="0" collapsed="false">
      <c r="A269" s="7" t="n">
        <v>267</v>
      </c>
      <c r="B269" s="14"/>
      <c r="C269" s="14"/>
      <c r="D269" s="14"/>
      <c r="E269" s="14"/>
      <c r="F269" s="14"/>
      <c r="G269" s="14"/>
      <c r="H269" s="14"/>
      <c r="I269" s="14"/>
      <c r="J269" s="12"/>
      <c r="K269" s="14"/>
      <c r="L269" s="14"/>
      <c r="M269" s="14"/>
      <c r="N269" s="17"/>
      <c r="O269" s="14"/>
    </row>
    <row r="270" customFormat="false" ht="15" hidden="false" customHeight="false" outlineLevel="0" collapsed="false">
      <c r="A270" s="7" t="n">
        <v>268</v>
      </c>
      <c r="B270" s="14"/>
      <c r="C270" s="14"/>
      <c r="D270" s="14"/>
      <c r="E270" s="14"/>
      <c r="F270" s="14"/>
      <c r="G270" s="14"/>
      <c r="H270" s="14"/>
      <c r="I270" s="14"/>
      <c r="J270" s="12"/>
      <c r="K270" s="14"/>
      <c r="L270" s="14"/>
      <c r="M270" s="14"/>
      <c r="N270" s="17"/>
      <c r="O270" s="14"/>
    </row>
    <row r="271" customFormat="false" ht="15" hidden="false" customHeight="false" outlineLevel="0" collapsed="false">
      <c r="A271" s="7" t="n">
        <v>269</v>
      </c>
      <c r="B271" s="14"/>
      <c r="C271" s="14"/>
      <c r="D271" s="14"/>
      <c r="E271" s="14"/>
      <c r="F271" s="14"/>
      <c r="G271" s="14"/>
      <c r="H271" s="14"/>
      <c r="I271" s="14"/>
      <c r="J271" s="12"/>
      <c r="K271" s="14"/>
      <c r="L271" s="14"/>
      <c r="M271" s="14"/>
      <c r="N271" s="17"/>
      <c r="O271" s="14"/>
    </row>
    <row r="272" customFormat="false" ht="15" hidden="false" customHeight="false" outlineLevel="0" collapsed="false">
      <c r="A272" s="7" t="n">
        <v>270</v>
      </c>
      <c r="B272" s="14"/>
      <c r="C272" s="14"/>
      <c r="D272" s="14"/>
      <c r="E272" s="14"/>
      <c r="F272" s="14"/>
      <c r="G272" s="14"/>
      <c r="H272" s="14"/>
      <c r="I272" s="14"/>
      <c r="J272" s="12"/>
      <c r="K272" s="14"/>
      <c r="L272" s="14"/>
      <c r="M272" s="14"/>
      <c r="N272" s="17"/>
      <c r="O272" s="14"/>
    </row>
    <row r="273" customFormat="false" ht="15" hidden="false" customHeight="false" outlineLevel="0" collapsed="false">
      <c r="A273" s="7" t="n">
        <v>271</v>
      </c>
      <c r="B273" s="14"/>
      <c r="C273" s="14"/>
      <c r="D273" s="14"/>
      <c r="E273" s="14"/>
      <c r="F273" s="14"/>
      <c r="G273" s="14"/>
      <c r="H273" s="14"/>
      <c r="I273" s="14"/>
      <c r="J273" s="12"/>
      <c r="K273" s="14"/>
      <c r="L273" s="14"/>
      <c r="M273" s="14"/>
      <c r="N273" s="17"/>
      <c r="O273" s="14"/>
    </row>
    <row r="274" customFormat="false" ht="15" hidden="false" customHeight="false" outlineLevel="0" collapsed="false">
      <c r="A274" s="7" t="n">
        <v>272</v>
      </c>
      <c r="B274" s="14"/>
      <c r="C274" s="14"/>
      <c r="D274" s="14"/>
      <c r="E274" s="14"/>
      <c r="F274" s="14"/>
      <c r="G274" s="14"/>
      <c r="H274" s="14"/>
      <c r="I274" s="14"/>
      <c r="J274" s="12"/>
      <c r="K274" s="14"/>
      <c r="L274" s="14"/>
      <c r="M274" s="14"/>
      <c r="N274" s="17"/>
      <c r="O274" s="14"/>
    </row>
    <row r="275" customFormat="false" ht="15" hidden="false" customHeight="false" outlineLevel="0" collapsed="false">
      <c r="A275" s="7" t="n">
        <v>273</v>
      </c>
      <c r="B275" s="14"/>
      <c r="C275" s="14"/>
      <c r="D275" s="14"/>
      <c r="E275" s="14"/>
      <c r="F275" s="14"/>
      <c r="G275" s="14"/>
      <c r="H275" s="14"/>
      <c r="I275" s="14"/>
      <c r="J275" s="12"/>
      <c r="K275" s="14"/>
      <c r="L275" s="14"/>
      <c r="M275" s="14"/>
      <c r="N275" s="17"/>
      <c r="O275" s="14"/>
    </row>
    <row r="276" customFormat="false" ht="15" hidden="false" customHeight="false" outlineLevel="0" collapsed="false">
      <c r="A276" s="7" t="n">
        <v>274</v>
      </c>
      <c r="B276" s="14"/>
      <c r="C276" s="14"/>
      <c r="D276" s="14"/>
      <c r="E276" s="14"/>
      <c r="F276" s="14"/>
      <c r="G276" s="14"/>
      <c r="H276" s="14"/>
      <c r="I276" s="14"/>
      <c r="J276" s="12"/>
      <c r="K276" s="14"/>
      <c r="L276" s="14"/>
      <c r="M276" s="14"/>
      <c r="N276" s="17"/>
      <c r="O276" s="14"/>
    </row>
    <row r="277" customFormat="false" ht="15" hidden="false" customHeight="false" outlineLevel="0" collapsed="false">
      <c r="A277" s="7" t="n">
        <v>275</v>
      </c>
      <c r="B277" s="14"/>
      <c r="C277" s="14"/>
      <c r="D277" s="14"/>
      <c r="E277" s="14"/>
      <c r="F277" s="14"/>
      <c r="G277" s="14"/>
      <c r="H277" s="14"/>
      <c r="I277" s="14"/>
      <c r="J277" s="12"/>
      <c r="K277" s="14"/>
      <c r="L277" s="14"/>
      <c r="M277" s="14"/>
      <c r="N277" s="17"/>
      <c r="O277" s="14"/>
    </row>
    <row r="278" customFormat="false" ht="15" hidden="false" customHeight="false" outlineLevel="0" collapsed="false">
      <c r="A278" s="7" t="n">
        <v>276</v>
      </c>
      <c r="B278" s="14"/>
      <c r="C278" s="14"/>
      <c r="D278" s="14"/>
      <c r="E278" s="14"/>
      <c r="F278" s="14"/>
      <c r="G278" s="14"/>
      <c r="H278" s="14"/>
      <c r="I278" s="14"/>
      <c r="J278" s="12"/>
      <c r="K278" s="14"/>
      <c r="L278" s="14"/>
      <c r="M278" s="14"/>
      <c r="N278" s="17"/>
      <c r="O278" s="14"/>
    </row>
    <row r="279" customFormat="false" ht="15" hidden="false" customHeight="false" outlineLevel="0" collapsed="false">
      <c r="A279" s="7" t="n">
        <v>277</v>
      </c>
      <c r="B279" s="14"/>
      <c r="C279" s="14"/>
      <c r="D279" s="14"/>
      <c r="E279" s="14"/>
      <c r="F279" s="14"/>
      <c r="G279" s="14"/>
      <c r="H279" s="14"/>
      <c r="I279" s="14"/>
      <c r="J279" s="12"/>
      <c r="K279" s="14"/>
      <c r="L279" s="14"/>
      <c r="M279" s="14"/>
      <c r="N279" s="17"/>
      <c r="O279" s="14"/>
    </row>
    <row r="280" customFormat="false" ht="15" hidden="false" customHeight="false" outlineLevel="0" collapsed="false">
      <c r="A280" s="7" t="n">
        <v>278</v>
      </c>
      <c r="B280" s="14"/>
      <c r="C280" s="14"/>
      <c r="D280" s="14"/>
      <c r="E280" s="14"/>
      <c r="F280" s="14"/>
      <c r="G280" s="14"/>
      <c r="H280" s="14"/>
      <c r="I280" s="14"/>
      <c r="J280" s="12"/>
      <c r="K280" s="14"/>
      <c r="L280" s="14"/>
      <c r="M280" s="14"/>
      <c r="N280" s="17"/>
      <c r="O280" s="14"/>
    </row>
    <row r="281" customFormat="false" ht="15" hidden="false" customHeight="false" outlineLevel="0" collapsed="false">
      <c r="A281" s="7" t="n">
        <v>279</v>
      </c>
      <c r="B281" s="14"/>
      <c r="C281" s="14"/>
      <c r="D281" s="14"/>
      <c r="E281" s="14"/>
      <c r="F281" s="14"/>
      <c r="G281" s="14"/>
      <c r="H281" s="14"/>
      <c r="I281" s="14"/>
      <c r="J281" s="12"/>
      <c r="K281" s="14"/>
      <c r="L281" s="14"/>
      <c r="M281" s="14"/>
      <c r="N281" s="17"/>
      <c r="O281" s="14"/>
    </row>
    <row r="282" customFormat="false" ht="15" hidden="false" customHeight="false" outlineLevel="0" collapsed="false">
      <c r="A282" s="7" t="n">
        <v>280</v>
      </c>
      <c r="B282" s="14"/>
      <c r="C282" s="14"/>
      <c r="D282" s="14"/>
      <c r="E282" s="14"/>
      <c r="F282" s="14"/>
      <c r="G282" s="14"/>
      <c r="H282" s="14"/>
      <c r="I282" s="14"/>
      <c r="J282" s="12"/>
      <c r="K282" s="14"/>
      <c r="L282" s="14"/>
      <c r="M282" s="14"/>
      <c r="N282" s="17"/>
      <c r="O282" s="14"/>
    </row>
    <row r="283" customFormat="false" ht="15" hidden="false" customHeight="false" outlineLevel="0" collapsed="false">
      <c r="A283" s="7" t="n">
        <v>281</v>
      </c>
      <c r="B283" s="14"/>
      <c r="C283" s="14"/>
      <c r="D283" s="14"/>
      <c r="E283" s="14"/>
      <c r="F283" s="14"/>
      <c r="G283" s="14"/>
      <c r="H283" s="14"/>
      <c r="I283" s="14"/>
      <c r="J283" s="12"/>
      <c r="K283" s="14"/>
      <c r="L283" s="14"/>
      <c r="M283" s="14"/>
      <c r="N283" s="17"/>
      <c r="O283" s="14"/>
    </row>
    <row r="284" customFormat="false" ht="15" hidden="false" customHeight="false" outlineLevel="0" collapsed="false">
      <c r="A284" s="7" t="n">
        <v>282</v>
      </c>
      <c r="B284" s="14"/>
      <c r="C284" s="14"/>
      <c r="D284" s="14"/>
      <c r="E284" s="14"/>
      <c r="F284" s="14"/>
      <c r="G284" s="14"/>
      <c r="H284" s="14"/>
      <c r="I284" s="14"/>
      <c r="J284" s="12"/>
      <c r="K284" s="14"/>
      <c r="L284" s="14"/>
      <c r="M284" s="14"/>
      <c r="N284" s="17"/>
      <c r="O284" s="14"/>
    </row>
    <row r="285" customFormat="false" ht="15" hidden="false" customHeight="false" outlineLevel="0" collapsed="false">
      <c r="A285" s="7" t="n">
        <v>283</v>
      </c>
      <c r="B285" s="14"/>
      <c r="C285" s="14"/>
      <c r="D285" s="14"/>
      <c r="E285" s="14"/>
      <c r="F285" s="14"/>
      <c r="G285" s="14"/>
      <c r="H285" s="14"/>
      <c r="I285" s="14"/>
      <c r="J285" s="12"/>
      <c r="K285" s="14"/>
      <c r="L285" s="14"/>
      <c r="M285" s="14"/>
      <c r="N285" s="17"/>
      <c r="O285" s="14"/>
    </row>
    <row r="286" customFormat="false" ht="15" hidden="false" customHeight="false" outlineLevel="0" collapsed="false">
      <c r="A286" s="7" t="n">
        <v>284</v>
      </c>
      <c r="B286" s="14"/>
      <c r="C286" s="14"/>
      <c r="D286" s="14"/>
      <c r="E286" s="14"/>
      <c r="F286" s="14"/>
      <c r="G286" s="14"/>
      <c r="H286" s="14"/>
      <c r="I286" s="14"/>
      <c r="J286" s="12"/>
      <c r="K286" s="14"/>
      <c r="L286" s="14"/>
      <c r="M286" s="14"/>
      <c r="N286" s="17"/>
      <c r="O286" s="14"/>
    </row>
    <row r="287" customFormat="false" ht="15" hidden="false" customHeight="false" outlineLevel="0" collapsed="false">
      <c r="A287" s="7" t="n">
        <v>285</v>
      </c>
      <c r="B287" s="14"/>
      <c r="C287" s="14"/>
      <c r="D287" s="14"/>
      <c r="E287" s="14"/>
      <c r="F287" s="14"/>
      <c r="G287" s="14"/>
      <c r="H287" s="14"/>
      <c r="I287" s="14"/>
      <c r="J287" s="12"/>
      <c r="K287" s="14"/>
      <c r="L287" s="14"/>
      <c r="M287" s="14"/>
      <c r="N287" s="17"/>
      <c r="O287" s="14"/>
    </row>
    <row r="288" customFormat="false" ht="15" hidden="false" customHeight="false" outlineLevel="0" collapsed="false">
      <c r="A288" s="7" t="n">
        <v>286</v>
      </c>
      <c r="B288" s="14"/>
      <c r="C288" s="14"/>
      <c r="D288" s="14"/>
      <c r="E288" s="14"/>
      <c r="F288" s="14"/>
      <c r="G288" s="14"/>
      <c r="H288" s="14"/>
      <c r="I288" s="14"/>
      <c r="J288" s="12"/>
      <c r="K288" s="14"/>
      <c r="L288" s="14"/>
      <c r="M288" s="14"/>
      <c r="N288" s="17"/>
      <c r="O288" s="14"/>
    </row>
    <row r="289" customFormat="false" ht="15" hidden="false" customHeight="false" outlineLevel="0" collapsed="false">
      <c r="A289" s="7" t="n">
        <v>287</v>
      </c>
      <c r="B289" s="14"/>
      <c r="C289" s="14"/>
      <c r="D289" s="14"/>
      <c r="E289" s="14"/>
      <c r="F289" s="14"/>
      <c r="G289" s="14"/>
      <c r="H289" s="14"/>
      <c r="I289" s="14"/>
      <c r="J289" s="12"/>
      <c r="K289" s="14"/>
      <c r="L289" s="14"/>
      <c r="M289" s="14"/>
      <c r="N289" s="17"/>
      <c r="O289" s="14"/>
    </row>
    <row r="290" customFormat="false" ht="15" hidden="false" customHeight="false" outlineLevel="0" collapsed="false">
      <c r="A290" s="7" t="n">
        <v>288</v>
      </c>
      <c r="B290" s="14"/>
      <c r="C290" s="14"/>
      <c r="D290" s="14"/>
      <c r="E290" s="14"/>
      <c r="F290" s="14"/>
      <c r="G290" s="14"/>
      <c r="H290" s="14"/>
      <c r="I290" s="14"/>
      <c r="J290" s="12"/>
      <c r="K290" s="14"/>
      <c r="L290" s="14"/>
      <c r="M290" s="14"/>
      <c r="N290" s="17"/>
      <c r="O290" s="14"/>
    </row>
    <row r="291" customFormat="false" ht="15" hidden="false" customHeight="false" outlineLevel="0" collapsed="false">
      <c r="A291" s="7" t="n">
        <v>289</v>
      </c>
      <c r="B291" s="14"/>
      <c r="C291" s="14"/>
      <c r="D291" s="14"/>
      <c r="E291" s="14"/>
      <c r="F291" s="14"/>
      <c r="G291" s="14"/>
      <c r="H291" s="14"/>
      <c r="I291" s="14"/>
      <c r="J291" s="12"/>
      <c r="K291" s="14"/>
      <c r="L291" s="14"/>
      <c r="M291" s="14"/>
      <c r="N291" s="17"/>
      <c r="O291" s="14"/>
    </row>
    <row r="292" customFormat="false" ht="15" hidden="false" customHeight="false" outlineLevel="0" collapsed="false">
      <c r="A292" s="7" t="n">
        <v>290</v>
      </c>
      <c r="B292" s="14"/>
      <c r="C292" s="14"/>
      <c r="D292" s="14"/>
      <c r="E292" s="14"/>
      <c r="F292" s="14"/>
      <c r="G292" s="14"/>
      <c r="H292" s="14"/>
      <c r="I292" s="14"/>
      <c r="J292" s="12"/>
      <c r="K292" s="14"/>
      <c r="L292" s="14"/>
      <c r="M292" s="14"/>
      <c r="N292" s="17"/>
      <c r="O292" s="14"/>
    </row>
    <row r="293" customFormat="false" ht="15" hidden="false" customHeight="false" outlineLevel="0" collapsed="false">
      <c r="A293" s="7" t="n">
        <v>291</v>
      </c>
      <c r="B293" s="14"/>
      <c r="C293" s="14"/>
      <c r="D293" s="14"/>
      <c r="E293" s="14"/>
      <c r="F293" s="14"/>
      <c r="G293" s="14"/>
      <c r="H293" s="14"/>
      <c r="I293" s="14"/>
      <c r="J293" s="12"/>
      <c r="K293" s="14"/>
      <c r="L293" s="14"/>
      <c r="M293" s="14"/>
      <c r="N293" s="17"/>
      <c r="O293" s="14"/>
    </row>
    <row r="294" customFormat="false" ht="15" hidden="false" customHeight="false" outlineLevel="0" collapsed="false">
      <c r="A294" s="7" t="n">
        <v>292</v>
      </c>
      <c r="B294" s="14"/>
      <c r="C294" s="14"/>
      <c r="D294" s="14"/>
      <c r="E294" s="14"/>
      <c r="F294" s="14"/>
      <c r="G294" s="14"/>
      <c r="H294" s="14"/>
      <c r="I294" s="14"/>
      <c r="J294" s="12"/>
      <c r="K294" s="14"/>
      <c r="L294" s="14"/>
      <c r="M294" s="14"/>
      <c r="N294" s="17"/>
      <c r="O294" s="14"/>
    </row>
    <row r="295" customFormat="false" ht="15" hidden="false" customHeight="false" outlineLevel="0" collapsed="false">
      <c r="A295" s="7" t="n">
        <v>293</v>
      </c>
      <c r="B295" s="14"/>
      <c r="C295" s="14"/>
      <c r="D295" s="14"/>
      <c r="E295" s="14"/>
      <c r="F295" s="14"/>
      <c r="G295" s="14"/>
      <c r="H295" s="14"/>
      <c r="I295" s="14"/>
      <c r="J295" s="12"/>
      <c r="K295" s="14"/>
      <c r="L295" s="14"/>
      <c r="M295" s="14"/>
      <c r="N295" s="17"/>
      <c r="O295" s="14"/>
    </row>
    <row r="296" customFormat="false" ht="15" hidden="false" customHeight="false" outlineLevel="0" collapsed="false">
      <c r="A296" s="7" t="n">
        <v>294</v>
      </c>
      <c r="B296" s="14"/>
      <c r="C296" s="14"/>
      <c r="D296" s="14"/>
      <c r="E296" s="14"/>
      <c r="F296" s="14"/>
      <c r="G296" s="14"/>
      <c r="H296" s="14"/>
      <c r="I296" s="14"/>
      <c r="J296" s="12"/>
      <c r="K296" s="14"/>
      <c r="L296" s="14"/>
      <c r="M296" s="14"/>
      <c r="N296" s="17"/>
      <c r="O296" s="14"/>
    </row>
    <row r="297" customFormat="false" ht="15" hidden="false" customHeight="false" outlineLevel="0" collapsed="false">
      <c r="A297" s="7" t="n">
        <v>295</v>
      </c>
      <c r="B297" s="14"/>
      <c r="C297" s="14"/>
      <c r="D297" s="14"/>
      <c r="E297" s="14"/>
      <c r="F297" s="14"/>
      <c r="G297" s="14"/>
      <c r="H297" s="14"/>
      <c r="I297" s="14"/>
      <c r="J297" s="12"/>
      <c r="K297" s="14"/>
      <c r="L297" s="14"/>
      <c r="M297" s="14"/>
      <c r="N297" s="17"/>
      <c r="O297" s="14"/>
    </row>
    <row r="298" customFormat="false" ht="15" hidden="false" customHeight="false" outlineLevel="0" collapsed="false">
      <c r="A298" s="7" t="n">
        <v>296</v>
      </c>
      <c r="B298" s="14"/>
      <c r="C298" s="14"/>
      <c r="D298" s="14"/>
      <c r="E298" s="14"/>
      <c r="F298" s="14"/>
      <c r="G298" s="14"/>
      <c r="H298" s="14"/>
      <c r="I298" s="14"/>
      <c r="J298" s="12"/>
      <c r="K298" s="14"/>
      <c r="L298" s="14"/>
      <c r="M298" s="14"/>
      <c r="N298" s="17"/>
      <c r="O298" s="14"/>
    </row>
    <row r="299" customFormat="false" ht="15" hidden="false" customHeight="false" outlineLevel="0" collapsed="false">
      <c r="A299" s="7" t="n">
        <v>297</v>
      </c>
      <c r="B299" s="14"/>
      <c r="C299" s="14"/>
      <c r="D299" s="14"/>
      <c r="E299" s="14"/>
      <c r="F299" s="14"/>
      <c r="G299" s="14"/>
      <c r="H299" s="14"/>
      <c r="I299" s="14"/>
      <c r="J299" s="12"/>
      <c r="K299" s="14"/>
      <c r="L299" s="14"/>
      <c r="M299" s="14"/>
      <c r="N299" s="17"/>
      <c r="O299" s="14"/>
    </row>
    <row r="300" customFormat="false" ht="15" hidden="false" customHeight="false" outlineLevel="0" collapsed="false">
      <c r="A300" s="7" t="n">
        <v>298</v>
      </c>
      <c r="B300" s="14"/>
      <c r="C300" s="14"/>
      <c r="D300" s="14"/>
      <c r="E300" s="14"/>
      <c r="F300" s="14"/>
      <c r="G300" s="14"/>
      <c r="H300" s="14"/>
      <c r="I300" s="14"/>
      <c r="J300" s="12"/>
      <c r="K300" s="14"/>
      <c r="L300" s="14"/>
      <c r="M300" s="14"/>
      <c r="N300" s="17"/>
      <c r="O300" s="14"/>
    </row>
    <row r="301" customFormat="false" ht="15" hidden="false" customHeight="false" outlineLevel="0" collapsed="false">
      <c r="A301" s="7" t="n">
        <v>299</v>
      </c>
      <c r="B301" s="14"/>
      <c r="C301" s="14"/>
      <c r="D301" s="14"/>
      <c r="E301" s="14"/>
      <c r="F301" s="14"/>
      <c r="G301" s="14"/>
      <c r="H301" s="14"/>
      <c r="I301" s="14"/>
      <c r="J301" s="12"/>
      <c r="K301" s="14"/>
      <c r="L301" s="14"/>
      <c r="M301" s="14"/>
      <c r="N301" s="17"/>
      <c r="O301" s="14"/>
    </row>
    <row r="302" customFormat="false" ht="15" hidden="false" customHeight="false" outlineLevel="0" collapsed="false">
      <c r="A302" s="7" t="n">
        <v>300</v>
      </c>
      <c r="B302" s="14"/>
      <c r="C302" s="14"/>
      <c r="D302" s="14"/>
      <c r="E302" s="14"/>
      <c r="F302" s="14"/>
      <c r="G302" s="14"/>
      <c r="H302" s="14"/>
      <c r="I302" s="14"/>
      <c r="J302" s="12"/>
      <c r="K302" s="14"/>
      <c r="L302" s="14"/>
      <c r="M302" s="14"/>
      <c r="N302" s="17"/>
      <c r="O302" s="14"/>
    </row>
  </sheetData>
  <conditionalFormatting sqref="M3:N302">
    <cfRule type="expression" priority="2" aboveAverage="0" equalAverage="0" bottom="0" percent="0" rank="0" text="" dxfId="0">
      <formula>AND($N3&lt;&gt;"",$N3&lt;=TODAY(),$H3&lt;&gt;"7. В обработке",$H3&lt;&gt;"Отказ")</formula>
    </cfRule>
  </conditionalFormatting>
  <conditionalFormatting sqref="I3:I302">
    <cfRule type="cellIs" priority="3" operator="greaterThan" aboveAverage="0" equalAverage="0" bottom="0" percent="0" rank="0" text="" dxfId="2">
      <formula>10</formula>
    </cfRule>
  </conditionalFormatting>
  <dataValidations count="4">
    <dataValidation allowBlank="true" errorStyle="stop" operator="between" showDropDown="false" showErrorMessage="false" showInputMessage="false" sqref="D3:D302" type="list">
      <formula1>"чат,купил сразу,звонок"</formula1>
      <formula2>0</formula2>
    </dataValidation>
    <dataValidation allowBlank="true" errorStyle="stop" operator="between" showDropDown="false" showErrorMessage="false" showInputMessage="false" sqref="H3:H302" type="list">
      <formula1>"1. Новый,2. Ждём VIN,3. Подбор,4. Предложение,5. Думает,6. Ждём оплату,7. В обработке,Отказ"</formula1>
      <formula2>0</formula2>
    </dataValidation>
    <dataValidation allowBlank="true" errorStyle="stop" operator="between" showDropDown="false" showErrorMessage="false" showInputMessage="false" sqref="K3:K302" type="list">
      <formula1>"Авито Доставка,перевод"</formula1>
      <formula2>0</formula2>
    </dataValidation>
    <dataValidation allowBlank="true" errorStyle="stop" operator="between" showDropDown="false" showErrorMessage="false" showInputMessage="false" sqref="L3:L302" type="list">
      <formula1>"не ответил,дорого,не подошло,нет в наличии,долго ждать,купил в другом месте,мы отказали,другое"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11" min="9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205</v>
      </c>
    </row>
    <row r="3" customFormat="false" ht="31.5" hidden="false" customHeight="true" outlineLevel="0" collapsed="false">
      <c r="A3" s="5"/>
      <c r="B3" s="5" t="s">
        <v>206</v>
      </c>
      <c r="C3" s="5" t="s">
        <v>207</v>
      </c>
      <c r="D3" s="5" t="s">
        <v>208</v>
      </c>
      <c r="E3" s="5" t="s">
        <v>209</v>
      </c>
      <c r="F3" s="5"/>
      <c r="G3" s="5"/>
      <c r="H3" s="5"/>
      <c r="I3" s="5"/>
      <c r="J3" s="5"/>
      <c r="K3" s="5"/>
      <c r="L3" s="5"/>
      <c r="M3" s="5"/>
      <c r="N3" s="5"/>
    </row>
    <row r="4" customFormat="false" ht="43.5" hidden="false" customHeight="true" outlineLevel="0" collapsed="false">
      <c r="A4" s="7" t="s">
        <v>210</v>
      </c>
      <c r="B4" s="12" t="n">
        <v>4740</v>
      </c>
      <c r="C4" s="12" t="n">
        <v>10490</v>
      </c>
      <c r="D4" s="12" t="n">
        <v>5290</v>
      </c>
      <c r="E4" s="8" t="s">
        <v>211</v>
      </c>
      <c r="F4" s="8"/>
      <c r="G4" s="8"/>
      <c r="H4" s="8"/>
      <c r="I4" s="8"/>
      <c r="J4" s="8"/>
      <c r="K4" s="8"/>
      <c r="L4" s="8"/>
      <c r="M4" s="8"/>
      <c r="N4" s="8"/>
    </row>
    <row r="5" customFormat="false" ht="15" hidden="false" customHeight="true" outlineLevel="0" collapsed="false">
      <c r="A5" s="7" t="s">
        <v>212</v>
      </c>
      <c r="B5" s="12" t="n">
        <v>3365.09</v>
      </c>
      <c r="C5" s="12" t="n">
        <v>7056.23</v>
      </c>
      <c r="D5" s="12" t="n">
        <v>3624.6</v>
      </c>
      <c r="E5" s="8" t="s">
        <v>213</v>
      </c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true" outlineLevel="0" collapsed="false">
      <c r="A6" s="7" t="s">
        <v>214</v>
      </c>
      <c r="B6" s="20" t="n">
        <v>0.5</v>
      </c>
      <c r="E6" s="8" t="s">
        <v>215</v>
      </c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7" t="s">
        <v>216</v>
      </c>
      <c r="B7" s="9" t="str">
        <f aca="false">IFERROR(AVERAGEIFS(Киты!$M:$M,Киты!$B:$B,"ТО",Киты!$M:$M,"&gt;0"),"")</f>
        <v/>
      </c>
      <c r="C7" s="9" t="str">
        <f aca="false">IFERROR(AVERAGEIFS(Киты!$M:$M,Киты!$B:$B,"ГРМ",Киты!$M:$M,"&gt;0"),"")</f>
        <v/>
      </c>
      <c r="D7" s="9" t="str">
        <f aca="false">IFERROR(AVERAGEIFS(Киты!$M:$M,Киты!$B:$B,"Тормоза",Киты!$M:$M,"&gt;0"),"")</f>
        <v/>
      </c>
    </row>
    <row r="8" customFormat="false" ht="15" hidden="false" customHeight="false" outlineLevel="0" collapsed="false">
      <c r="A8" s="7" t="s">
        <v>217</v>
      </c>
      <c r="B8" s="9" t="str">
        <f aca="false">IFERROR(AVERAGEIFS(Киты!$I:$I,Киты!$B:$B,"ТО",Киты!$I:$I,"&gt;0"),"")</f>
        <v/>
      </c>
      <c r="C8" s="9" t="str">
        <f aca="false">IFERROR(AVERAGEIFS(Киты!$I:$I,Киты!$B:$B,"ГРМ",Киты!$I:$I,"&gt;0"),"")</f>
        <v/>
      </c>
      <c r="D8" s="9" t="str">
        <f aca="false">IFERROR(AVERAGEIFS(Киты!$I:$I,Киты!$B:$B,"Тормоза",Киты!$I:$I,"&gt;0"),"")</f>
        <v/>
      </c>
    </row>
    <row r="9" customFormat="false" ht="15" hidden="false" customHeight="true" outlineLevel="0" collapsed="false">
      <c r="A9" s="7" t="s">
        <v>218</v>
      </c>
      <c r="B9" s="9" t="n">
        <f aca="false">(Параметры!$B$13+Параметры!$B$14+Параметры!$B$15+Параметры!$B$16+Параметры!$B$17)</f>
        <v>12783</v>
      </c>
      <c r="E9" s="8" t="s">
        <v>219</v>
      </c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7" t="s">
        <v>220</v>
      </c>
      <c r="B10" s="11" t="n">
        <f aca="false">IF(B4="","",B4-(B5+Параметры!$B$3)-$B$6*B4*Параметры!$B$7-(1-$B$6)*(B4*Параметры!$B$11+Параметры!$B$12)-Параметры!$B$8-B5*Параметры!$B$9)</f>
        <v>806.0155</v>
      </c>
      <c r="C10" s="11" t="n">
        <f aca="false">IF(C4="","",C4-(C5+Параметры!$B$3)-$B$6*C4*Параметры!$B$7-(1-$B$6)*(C4*Параметры!$B$11+Параметры!$B$12)-Параметры!$B$8-C5*Параметры!$B$9)</f>
        <v>2473.3185</v>
      </c>
      <c r="D10" s="11" t="n">
        <f aca="false">IF(D4="","",D4-(D5+Параметры!$B$3)-$B$6*D4*Параметры!$B$7-(1-$B$6)*(D4*Параметры!$B$11+Параметры!$B$12)-Параметры!$B$8-D5*Параметры!$B$9)</f>
        <v>1063.73</v>
      </c>
    </row>
    <row r="11" customFormat="false" ht="15" hidden="false" customHeight="true" outlineLevel="0" collapsed="false">
      <c r="A11" s="6" t="s">
        <v>221</v>
      </c>
      <c r="B11" s="6" t="n">
        <f aca="false">IF(B10="","",IF(B10&lt;=0,"не окупается",ROUNDUP($B$9/B10,0)))</f>
        <v>16</v>
      </c>
      <c r="C11" s="6" t="n">
        <f aca="false">IF(C10="","",IF(C10&lt;=0,"не окупается",ROUNDUP($B$9/C10,0)))</f>
        <v>6</v>
      </c>
      <c r="D11" s="6" t="n">
        <f aca="false">IF(D10="","",IF(D10&lt;=0,"не окупается",ROUNDUP($B$9/D10,0)))</f>
        <v>13</v>
      </c>
      <c r="E11" s="8" t="s">
        <v>222</v>
      </c>
      <c r="F11" s="8"/>
      <c r="G11" s="8"/>
      <c r="H11" s="8"/>
      <c r="I11" s="8"/>
      <c r="J11" s="8"/>
      <c r="K11" s="8"/>
      <c r="L11" s="8"/>
      <c r="M11" s="8"/>
      <c r="N11" s="8"/>
    </row>
    <row r="13" customFormat="false" ht="43.5" hidden="false" customHeight="true" outlineLevel="0" collapsed="false">
      <c r="A13" s="5" t="s">
        <v>223</v>
      </c>
      <c r="B13" s="5" t="s">
        <v>224</v>
      </c>
      <c r="C13" s="5" t="s">
        <v>225</v>
      </c>
      <c r="D13" s="5" t="s">
        <v>226</v>
      </c>
      <c r="E13" s="5" t="s">
        <v>227</v>
      </c>
      <c r="F13" s="5" t="s">
        <v>228</v>
      </c>
      <c r="G13" s="5" t="s">
        <v>30</v>
      </c>
      <c r="H13" s="5" t="s">
        <v>31</v>
      </c>
      <c r="I13" s="5" t="s">
        <v>32</v>
      </c>
      <c r="J13" s="5" t="s">
        <v>33</v>
      </c>
      <c r="K13" s="5" t="s">
        <v>229</v>
      </c>
      <c r="L13" s="5" t="s">
        <v>230</v>
      </c>
      <c r="M13" s="5" t="s">
        <v>231</v>
      </c>
      <c r="N13" s="5" t="s">
        <v>232</v>
      </c>
    </row>
    <row r="14" customFormat="false" ht="15" hidden="false" customHeight="false" outlineLevel="0" collapsed="false">
      <c r="A14" s="7" t="s">
        <v>233</v>
      </c>
      <c r="B14" s="21" t="n">
        <v>20</v>
      </c>
      <c r="C14" s="21" t="n">
        <v>0</v>
      </c>
      <c r="D14" s="21" t="n">
        <v>0</v>
      </c>
      <c r="E14" s="9" t="n">
        <f aca="false">N(B14)*N($B$4)+N(C14)*N($C$4)+N(D14)*N($D$4)</f>
        <v>94800</v>
      </c>
      <c r="F14" s="9" t="n">
        <f aca="false">N(B14)*(N($B$5)+Параметры!$B$3)+N(C14)*(N($C$5)+Параметры!$B$3)+N(D14)*(N($D$5)+Параметры!$B$3)</f>
        <v>68301.8</v>
      </c>
      <c r="G14" s="9" t="n">
        <f aca="false">$B$6*E14*Параметры!$B$7</f>
        <v>3081</v>
      </c>
      <c r="H14" s="9" t="n">
        <f aca="false">(1-$B$6)*E14*Параметры!$B$11</f>
        <v>331.8</v>
      </c>
      <c r="I14" s="9" t="n">
        <f aca="false">(B14+C14+D14)*Параметры!$B$8</f>
        <v>3600</v>
      </c>
      <c r="J14" s="9" t="n">
        <f aca="false">(N(B14)*N($B$5)+N(C14)*N($C$5)+N(D14)*N($D$5))*Параметры!$B$9</f>
        <v>3365.09</v>
      </c>
      <c r="K14" s="9" t="n">
        <f aca="false">(B14+C14+D14)*(1-$B$6)*Параметры!$B$12</f>
        <v>0</v>
      </c>
      <c r="L14" s="9" t="n">
        <f aca="false">$B$9</f>
        <v>12783</v>
      </c>
      <c r="M14" s="11" t="n">
        <f aca="false">E14-SUM(F14:L14)</f>
        <v>3337.31</v>
      </c>
      <c r="N14" s="9" t="n">
        <f aca="false">IF((B14+C14+D14)=0,"",M14/(B14+C14+D14))</f>
        <v>166.8655</v>
      </c>
    </row>
    <row r="15" customFormat="false" ht="15" hidden="false" customHeight="false" outlineLevel="0" collapsed="false">
      <c r="A15" s="7" t="s">
        <v>234</v>
      </c>
      <c r="B15" s="21" t="n">
        <v>0</v>
      </c>
      <c r="C15" s="21" t="n">
        <v>10</v>
      </c>
      <c r="D15" s="21" t="n">
        <v>0</v>
      </c>
      <c r="E15" s="9" t="n">
        <f aca="false">N(B15)*N($B$4)+N(C15)*N($C$4)+N(D15)*N($D$4)</f>
        <v>104900</v>
      </c>
      <c r="F15" s="9" t="n">
        <f aca="false">N(B15)*(N($B$5)+Параметры!$B$3)+N(C15)*(N($C$5)+Параметры!$B$3)+N(D15)*(N($D$5)+Параметры!$B$3)</f>
        <v>71062.3</v>
      </c>
      <c r="G15" s="9" t="n">
        <f aca="false">$B$6*E15*Параметры!$B$7</f>
        <v>3409.25</v>
      </c>
      <c r="H15" s="9" t="n">
        <f aca="false">(1-$B$6)*E15*Параметры!$B$11</f>
        <v>367.15</v>
      </c>
      <c r="I15" s="9" t="n">
        <f aca="false">(B15+C15+D15)*Параметры!$B$8</f>
        <v>1800</v>
      </c>
      <c r="J15" s="9" t="n">
        <f aca="false">(N(B15)*N($B$5)+N(C15)*N($C$5)+N(D15)*N($D$5))*Параметры!$B$9</f>
        <v>3528.115</v>
      </c>
      <c r="K15" s="9" t="n">
        <f aca="false">(B15+C15+D15)*(1-$B$6)*Параметры!$B$12</f>
        <v>0</v>
      </c>
      <c r="L15" s="9" t="n">
        <f aca="false">$B$9</f>
        <v>12783</v>
      </c>
      <c r="M15" s="11" t="n">
        <f aca="false">E15-SUM(F15:L15)</f>
        <v>11950.185</v>
      </c>
      <c r="N15" s="9" t="n">
        <f aca="false">IF((B15+C15+D15)=0,"",M15/(B15+C15+D15))</f>
        <v>1195.0185</v>
      </c>
    </row>
    <row r="16" customFormat="false" ht="15" hidden="false" customHeight="false" outlineLevel="0" collapsed="false">
      <c r="A16" s="7" t="s">
        <v>235</v>
      </c>
      <c r="B16" s="21" t="n">
        <v>0</v>
      </c>
      <c r="C16" s="21" t="n">
        <v>0</v>
      </c>
      <c r="D16" s="21" t="n">
        <v>10</v>
      </c>
      <c r="E16" s="9" t="n">
        <f aca="false">N(B16)*N($B$4)+N(C16)*N($C$4)+N(D16)*N($D$4)</f>
        <v>52900</v>
      </c>
      <c r="F16" s="9" t="n">
        <f aca="false">N(B16)*(N($B$5)+Параметры!$B$3)+N(C16)*(N($C$5)+Параметры!$B$3)+N(D16)*(N($D$5)+Параметры!$B$3)</f>
        <v>36746</v>
      </c>
      <c r="G16" s="9" t="n">
        <f aca="false">$B$6*E16*Параметры!$B$7</f>
        <v>1719.25</v>
      </c>
      <c r="H16" s="9" t="n">
        <f aca="false">(1-$B$6)*E16*Параметры!$B$11</f>
        <v>185.15</v>
      </c>
      <c r="I16" s="9" t="n">
        <f aca="false">(B16+C16+D16)*Параметры!$B$8</f>
        <v>1800</v>
      </c>
      <c r="J16" s="9" t="n">
        <f aca="false">(N(B16)*N($B$5)+N(C16)*N($C$5)+N(D16)*N($D$5))*Параметры!$B$9</f>
        <v>1812.3</v>
      </c>
      <c r="K16" s="9" t="n">
        <f aca="false">(B16+C16+D16)*(1-$B$6)*Параметры!$B$12</f>
        <v>0</v>
      </c>
      <c r="L16" s="9" t="n">
        <f aca="false">$B$9</f>
        <v>12783</v>
      </c>
      <c r="M16" s="11" t="n">
        <f aca="false">E16-SUM(F16:L16)</f>
        <v>-2145.7</v>
      </c>
      <c r="N16" s="9" t="n">
        <f aca="false">IF((B16+C16+D16)=0,"",M16/(B16+C16+D16))</f>
        <v>-214.57</v>
      </c>
    </row>
    <row r="17" customFormat="false" ht="15" hidden="false" customHeight="false" outlineLevel="0" collapsed="false">
      <c r="A17" s="7" t="s">
        <v>236</v>
      </c>
      <c r="B17" s="21" t="n">
        <v>10</v>
      </c>
      <c r="C17" s="21" t="n">
        <v>5</v>
      </c>
      <c r="D17" s="21" t="n">
        <v>5</v>
      </c>
      <c r="E17" s="9" t="n">
        <f aca="false">N(B17)*N($B$4)+N(C17)*N($C$4)+N(D17)*N($D$4)</f>
        <v>126300</v>
      </c>
      <c r="F17" s="9" t="n">
        <f aca="false">N(B17)*(N($B$5)+Параметры!$B$3)+N(C17)*(N($C$5)+Параметры!$B$3)+N(D17)*(N($D$5)+Параметры!$B$3)</f>
        <v>88055.05</v>
      </c>
      <c r="G17" s="9" t="n">
        <f aca="false">$B$6*E17*Параметры!$B$7</f>
        <v>4104.75</v>
      </c>
      <c r="H17" s="9" t="n">
        <f aca="false">(1-$B$6)*E17*Параметры!$B$11</f>
        <v>442.05</v>
      </c>
      <c r="I17" s="9" t="n">
        <f aca="false">(B17+C17+D17)*Параметры!$B$8</f>
        <v>3600</v>
      </c>
      <c r="J17" s="9" t="n">
        <f aca="false">(N(B17)*N($B$5)+N(C17)*N($C$5)+N(D17)*N($D$5))*Параметры!$B$9</f>
        <v>4352.7525</v>
      </c>
      <c r="K17" s="9" t="n">
        <f aca="false">(B17+C17+D17)*(1-$B$6)*Параметры!$B$12</f>
        <v>0</v>
      </c>
      <c r="L17" s="9" t="n">
        <f aca="false">$B$9</f>
        <v>12783</v>
      </c>
      <c r="M17" s="11" t="n">
        <f aca="false">E17-SUM(F17:L17)</f>
        <v>12962.3975</v>
      </c>
      <c r="N17" s="9" t="n">
        <f aca="false">IF((B17+C17+D17)=0,"",M17/(B17+C17+D17))</f>
        <v>648.119875</v>
      </c>
    </row>
    <row r="18" customFormat="false" ht="15" hidden="false" customHeight="false" outlineLevel="0" collapsed="false">
      <c r="A18" s="7" t="s">
        <v>237</v>
      </c>
      <c r="B18" s="21" t="n">
        <v>20</v>
      </c>
      <c r="C18" s="21" t="n">
        <v>10</v>
      </c>
      <c r="D18" s="21" t="n">
        <v>10</v>
      </c>
      <c r="E18" s="9" t="n">
        <f aca="false">N(B18)*N($B$4)+N(C18)*N($C$4)+N(D18)*N($D$4)</f>
        <v>252600</v>
      </c>
      <c r="F18" s="9" t="n">
        <f aca="false">N(B18)*(N($B$5)+Параметры!$B$3)+N(C18)*(N($C$5)+Параметры!$B$3)+N(D18)*(N($D$5)+Параметры!$B$3)</f>
        <v>176110.1</v>
      </c>
      <c r="G18" s="9" t="n">
        <f aca="false">$B$6*E18*Параметры!$B$7</f>
        <v>8209.5</v>
      </c>
      <c r="H18" s="9" t="n">
        <f aca="false">(1-$B$6)*E18*Параметры!$B$11</f>
        <v>884.1</v>
      </c>
      <c r="I18" s="9" t="n">
        <f aca="false">(B18+C18+D18)*Параметры!$B$8</f>
        <v>7200</v>
      </c>
      <c r="J18" s="9" t="n">
        <f aca="false">(N(B18)*N($B$5)+N(C18)*N($C$5)+N(D18)*N($D$5))*Параметры!$B$9</f>
        <v>8705.505</v>
      </c>
      <c r="K18" s="9" t="n">
        <f aca="false">(B18+C18+D18)*(1-$B$6)*Параметры!$B$12</f>
        <v>0</v>
      </c>
      <c r="L18" s="9" t="n">
        <f aca="false">$B$9</f>
        <v>12783</v>
      </c>
      <c r="M18" s="11" t="n">
        <f aca="false">E18-SUM(F18:L18)</f>
        <v>38707.795</v>
      </c>
      <c r="N18" s="9" t="n">
        <f aca="false">IF((B18+C18+D18)=0,"",M18/(B18+C18+D18))</f>
        <v>967.694875</v>
      </c>
    </row>
    <row r="19" customFormat="false" ht="15" hidden="false" customHeight="false" outlineLevel="0" collapsed="false">
      <c r="A19" s="7" t="s">
        <v>238</v>
      </c>
      <c r="B19" s="21" t="n">
        <v>30</v>
      </c>
      <c r="C19" s="21" t="n">
        <v>15</v>
      </c>
      <c r="D19" s="21" t="n">
        <v>15</v>
      </c>
      <c r="E19" s="9" t="n">
        <f aca="false">N(B19)*N($B$4)+N(C19)*N($C$4)+N(D19)*N($D$4)</f>
        <v>378900</v>
      </c>
      <c r="F19" s="9" t="n">
        <f aca="false">N(B19)*(N($B$5)+Параметры!$B$3)+N(C19)*(N($C$5)+Параметры!$B$3)+N(D19)*(N($D$5)+Параметры!$B$3)</f>
        <v>264165.15</v>
      </c>
      <c r="G19" s="9" t="n">
        <f aca="false">$B$6*E19*Параметры!$B$7</f>
        <v>12314.25</v>
      </c>
      <c r="H19" s="9" t="n">
        <f aca="false">(1-$B$6)*E19*Параметры!$B$11</f>
        <v>1326.15</v>
      </c>
      <c r="I19" s="9" t="n">
        <f aca="false">(B19+C19+D19)*Параметры!$B$8</f>
        <v>10800</v>
      </c>
      <c r="J19" s="9" t="n">
        <f aca="false">(N(B19)*N($B$5)+N(C19)*N($C$5)+N(D19)*N($D$5))*Параметры!$B$9</f>
        <v>13058.2575</v>
      </c>
      <c r="K19" s="9" t="n">
        <f aca="false">(B19+C19+D19)*(1-$B$6)*Параметры!$B$12</f>
        <v>0</v>
      </c>
      <c r="L19" s="9" t="n">
        <f aca="false">$B$9</f>
        <v>12783</v>
      </c>
      <c r="M19" s="11" t="n">
        <f aca="false">E19-SUM(F19:L19)</f>
        <v>64453.1925</v>
      </c>
      <c r="N19" s="9" t="n">
        <f aca="false">IF((B19+C19+D19)=0,"",M19/(B19+C19+D19))</f>
        <v>1074.219875</v>
      </c>
    </row>
    <row r="20" customFormat="false" ht="15" hidden="false" customHeight="false" outlineLevel="0" collapsed="false">
      <c r="A20" s="7" t="s">
        <v>239</v>
      </c>
      <c r="B20" s="21" t="n">
        <v>50</v>
      </c>
      <c r="C20" s="21" t="n">
        <v>20</v>
      </c>
      <c r="D20" s="21" t="n">
        <v>20</v>
      </c>
      <c r="E20" s="9" t="n">
        <f aca="false">N(B20)*N($B$4)+N(C20)*N($C$4)+N(D20)*N($D$4)</f>
        <v>552600</v>
      </c>
      <c r="F20" s="9" t="n">
        <f aca="false">N(B20)*(N($B$5)+Параметры!$B$3)+N(C20)*(N($C$5)+Параметры!$B$3)+N(D20)*(N($D$5)+Параметры!$B$3)</f>
        <v>386371.1</v>
      </c>
      <c r="G20" s="9" t="n">
        <f aca="false">$B$6*E20*Параметры!$B$7</f>
        <v>17959.5</v>
      </c>
      <c r="H20" s="9" t="n">
        <f aca="false">(1-$B$6)*E20*Параметры!$B$11</f>
        <v>1934.1</v>
      </c>
      <c r="I20" s="9" t="n">
        <f aca="false">(B20+C20+D20)*Параметры!$B$8</f>
        <v>16200</v>
      </c>
      <c r="J20" s="9" t="n">
        <f aca="false">(N(B20)*N($B$5)+N(C20)*N($C$5)+N(D20)*N($D$5))*Параметры!$B$9</f>
        <v>19093.555</v>
      </c>
      <c r="K20" s="9" t="n">
        <f aca="false">(B20+C20+D20)*(1-$B$6)*Параметры!$B$12</f>
        <v>0</v>
      </c>
      <c r="L20" s="9" t="n">
        <f aca="false">$B$9</f>
        <v>12783</v>
      </c>
      <c r="M20" s="11" t="n">
        <f aca="false">E20-SUM(F20:L20)</f>
        <v>98258.745</v>
      </c>
      <c r="N20" s="9" t="n">
        <f aca="false">IF((B20+C20+D20)=0,"",M20/(B20+C20+D20))</f>
        <v>1091.76383333333</v>
      </c>
    </row>
    <row r="22" customFormat="false" ht="15" hidden="false" customHeight="false" outlineLevel="0" collapsed="false">
      <c r="A22" s="22" t="s">
        <v>240</v>
      </c>
    </row>
  </sheetData>
  <mergeCells count="6">
    <mergeCell ref="E3:N3"/>
    <mergeCell ref="E4:N4"/>
    <mergeCell ref="E5:N5"/>
    <mergeCell ref="E6:N6"/>
    <mergeCell ref="E9:N9"/>
    <mergeCell ref="E11:N11"/>
  </mergeCells>
  <conditionalFormatting sqref="M14:M20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31.5" hidden="false" customHeight="true" outlineLevel="0" collapsed="false">
      <c r="A1" s="5" t="s">
        <v>241</v>
      </c>
      <c r="B1" s="5" t="s">
        <v>242</v>
      </c>
      <c r="C1" s="5" t="s">
        <v>243</v>
      </c>
    </row>
    <row r="2" customFormat="false" ht="15" hidden="false" customHeight="false" outlineLevel="0" collapsed="false">
      <c r="A2" s="7" t="s">
        <v>244</v>
      </c>
      <c r="B2" s="23" t="n">
        <v>0.3</v>
      </c>
      <c r="C2" s="8" t="s">
        <v>245</v>
      </c>
    </row>
    <row r="3" customFormat="false" ht="15" hidden="false" customHeight="false" outlineLevel="0" collapsed="false">
      <c r="A3" s="7" t="s">
        <v>246</v>
      </c>
      <c r="B3" s="12" t="n">
        <v>50</v>
      </c>
      <c r="C3" s="8" t="s">
        <v>247</v>
      </c>
    </row>
    <row r="4" customFormat="false" ht="15" hidden="false" customHeight="false" outlineLevel="0" collapsed="false">
      <c r="A4" s="7" t="s">
        <v>248</v>
      </c>
      <c r="B4" s="12" t="n">
        <v>100</v>
      </c>
      <c r="C4" s="8" t="s">
        <v>249</v>
      </c>
    </row>
    <row r="5" customFormat="false" ht="15" hidden="false" customHeight="false" outlineLevel="0" collapsed="false">
      <c r="A5" s="7" t="s">
        <v>250</v>
      </c>
      <c r="B5" s="12" t="n">
        <v>10</v>
      </c>
      <c r="C5" s="8" t="s">
        <v>251</v>
      </c>
    </row>
    <row r="6" customFormat="false" ht="23.85" hidden="false" customHeight="false" outlineLevel="0" collapsed="false">
      <c r="A6" s="7" t="s">
        <v>252</v>
      </c>
      <c r="B6" s="23" t="n">
        <v>0.05</v>
      </c>
      <c r="C6" s="8" t="s">
        <v>253</v>
      </c>
    </row>
    <row r="7" customFormat="false" ht="15" hidden="false" customHeight="false" outlineLevel="0" collapsed="false">
      <c r="A7" s="7" t="s">
        <v>254</v>
      </c>
      <c r="B7" s="23" t="n">
        <v>0.065</v>
      </c>
      <c r="C7" s="8" t="s">
        <v>255</v>
      </c>
    </row>
    <row r="8" customFormat="false" ht="23.85" hidden="false" customHeight="false" outlineLevel="0" collapsed="false">
      <c r="A8" s="7" t="s">
        <v>256</v>
      </c>
      <c r="B8" s="12" t="n">
        <v>180</v>
      </c>
      <c r="C8" s="8" t="s">
        <v>257</v>
      </c>
    </row>
    <row r="9" customFormat="false" ht="15" hidden="false" customHeight="false" outlineLevel="0" collapsed="false">
      <c r="A9" s="7" t="s">
        <v>258</v>
      </c>
      <c r="B9" s="23" t="n">
        <v>0.05</v>
      </c>
      <c r="C9" s="8" t="s">
        <v>259</v>
      </c>
    </row>
    <row r="10" customFormat="false" ht="15" hidden="false" customHeight="false" outlineLevel="0" collapsed="false">
      <c r="A10" s="7" t="s">
        <v>260</v>
      </c>
      <c r="B10" s="24" t="n">
        <v>0</v>
      </c>
      <c r="C10" s="8" t="s">
        <v>261</v>
      </c>
    </row>
    <row r="11" customFormat="false" ht="23.85" hidden="false" customHeight="false" outlineLevel="0" collapsed="false">
      <c r="A11" s="7" t="s">
        <v>262</v>
      </c>
      <c r="B11" s="23" t="n">
        <v>0.007</v>
      </c>
      <c r="C11" s="8" t="s">
        <v>263</v>
      </c>
    </row>
    <row r="12" customFormat="false" ht="15" hidden="false" customHeight="false" outlineLevel="0" collapsed="false">
      <c r="A12" s="7" t="s">
        <v>264</v>
      </c>
      <c r="B12" s="12" t="n">
        <v>0</v>
      </c>
      <c r="C12" s="8" t="s">
        <v>265</v>
      </c>
    </row>
    <row r="13" customFormat="false" ht="15" hidden="false" customHeight="false" outlineLevel="0" collapsed="false">
      <c r="A13" s="7" t="s">
        <v>266</v>
      </c>
      <c r="B13" s="12" t="n">
        <v>4783</v>
      </c>
      <c r="C13" s="8" t="s">
        <v>267</v>
      </c>
    </row>
    <row r="14" customFormat="false" ht="15" hidden="false" customHeight="false" outlineLevel="0" collapsed="false">
      <c r="A14" s="7" t="s">
        <v>268</v>
      </c>
      <c r="B14" s="12" t="n">
        <v>1500</v>
      </c>
      <c r="C14" s="8" t="s">
        <v>269</v>
      </c>
    </row>
    <row r="15" customFormat="false" ht="15" hidden="false" customHeight="false" outlineLevel="0" collapsed="false">
      <c r="A15" s="7" t="s">
        <v>270</v>
      </c>
      <c r="B15" s="12" t="n">
        <v>6000</v>
      </c>
      <c r="C15" s="8" t="s">
        <v>271</v>
      </c>
    </row>
    <row r="16" customFormat="false" ht="15" hidden="false" customHeight="false" outlineLevel="0" collapsed="false">
      <c r="A16" s="7" t="s">
        <v>272</v>
      </c>
      <c r="B16" s="12" t="n">
        <v>0</v>
      </c>
      <c r="C16" s="8" t="s">
        <v>273</v>
      </c>
    </row>
    <row r="17" customFormat="false" ht="15" hidden="false" customHeight="false" outlineLevel="0" collapsed="false">
      <c r="A17" s="7" t="s">
        <v>274</v>
      </c>
      <c r="B17" s="12" t="n">
        <v>500</v>
      </c>
      <c r="C17" s="8" t="s">
        <v>275</v>
      </c>
    </row>
    <row r="18" customFormat="false" ht="15" hidden="false" customHeight="false" outlineLevel="0" collapsed="false">
      <c r="A18" s="7" t="s">
        <v>276</v>
      </c>
      <c r="B18" s="24" t="n">
        <v>20</v>
      </c>
      <c r="C18" s="8" t="s">
        <v>277</v>
      </c>
    </row>
    <row r="19" customFormat="false" ht="15" hidden="false" customHeight="false" outlineLevel="0" collapsed="false">
      <c r="A19" s="6" t="s">
        <v>278</v>
      </c>
      <c r="B19" s="11" t="n">
        <f aca="false">($B$13+$B$14+$B$15+$B$16+$B$17)/MAX(1,$B$18)</f>
        <v>639.15</v>
      </c>
      <c r="C19" s="8" t="s">
        <v>279</v>
      </c>
    </row>
    <row r="21" customFormat="false" ht="15" hidden="false" customHeight="false" outlineLevel="0" collapsed="false">
      <c r="A21" s="22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5" min="7" style="0" width="11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60"/>
  </cols>
  <sheetData>
    <row r="1" customFormat="false" ht="43.5" hidden="false" customHeight="true" outlineLevel="0" collapsed="false">
      <c r="A1" s="5" t="s">
        <v>15</v>
      </c>
      <c r="B1" s="5" t="s">
        <v>17</v>
      </c>
      <c r="C1" s="5" t="s">
        <v>281</v>
      </c>
      <c r="D1" s="5" t="s">
        <v>282</v>
      </c>
      <c r="E1" s="5" t="s">
        <v>283</v>
      </c>
      <c r="F1" s="5" t="s">
        <v>284</v>
      </c>
      <c r="G1" s="5" t="s">
        <v>285</v>
      </c>
      <c r="H1" s="5" t="s">
        <v>286</v>
      </c>
      <c r="I1" s="5" t="s">
        <v>287</v>
      </c>
      <c r="J1" s="5" t="s">
        <v>288</v>
      </c>
      <c r="K1" s="5" t="s">
        <v>289</v>
      </c>
      <c r="L1" s="5" t="s">
        <v>290</v>
      </c>
      <c r="M1" s="5" t="s">
        <v>291</v>
      </c>
      <c r="N1" s="5" t="s">
        <v>292</v>
      </c>
      <c r="O1" s="5" t="s">
        <v>293</v>
      </c>
      <c r="P1" s="5" t="s">
        <v>294</v>
      </c>
      <c r="Q1" s="5" t="s">
        <v>295</v>
      </c>
      <c r="R1" s="5" t="s">
        <v>166</v>
      </c>
      <c r="S1" s="5" t="s">
        <v>171</v>
      </c>
    </row>
    <row r="2" customFormat="false" ht="15" hidden="false" customHeight="false" outlineLevel="0" collapsed="false">
      <c r="A2" s="15" t="s">
        <v>173</v>
      </c>
      <c r="B2" s="15" t="s">
        <v>183</v>
      </c>
      <c r="C2" s="25" t="s">
        <v>296</v>
      </c>
      <c r="D2" s="26" t="n">
        <v>1</v>
      </c>
      <c r="E2" s="26" t="s">
        <v>297</v>
      </c>
      <c r="F2" s="26" t="s">
        <v>298</v>
      </c>
      <c r="G2" s="27" t="n">
        <v>460</v>
      </c>
      <c r="H2" s="27"/>
      <c r="I2" s="27" t="n">
        <v>445</v>
      </c>
      <c r="J2" s="27" t="n">
        <v>430</v>
      </c>
      <c r="K2" s="27"/>
      <c r="L2" s="27"/>
      <c r="M2" s="27"/>
      <c r="N2" s="27" t="n">
        <v>470</v>
      </c>
      <c r="O2" s="27"/>
      <c r="P2" s="28" t="n">
        <f aca="false">IF(COUNT(G2:O2)=0,"",MIN(G2:O2))</f>
        <v>430</v>
      </c>
      <c r="Q2" s="25" t="str">
        <f aca="false">IF(P2="","",INDEX($G$1:$O$1,MATCH(P2,G2:O2,0)))</f>
        <v>Росско</v>
      </c>
      <c r="R2" s="28" t="n">
        <f aca="false">IF(P2="",0,P2*D2)</f>
        <v>430</v>
      </c>
      <c r="S2" s="29" t="s">
        <v>299</v>
      </c>
    </row>
    <row r="3" customFormat="false" ht="15" hidden="false" customHeight="false" outlineLevel="0" collapsed="false">
      <c r="A3" s="6" t="s">
        <v>40</v>
      </c>
      <c r="B3" s="7" t="str">
        <f aca="false">IFERROR(INDEX(Киты!$C:$C,MATCH(A3,Киты!$A:$A,0)),"")</f>
        <v>Hyundai Solaris 2010–2017</v>
      </c>
      <c r="C3" s="7" t="s">
        <v>300</v>
      </c>
      <c r="D3" s="14" t="n">
        <v>1</v>
      </c>
      <c r="E3" s="14"/>
      <c r="F3" s="14"/>
      <c r="G3" s="12"/>
      <c r="H3" s="12"/>
      <c r="I3" s="12"/>
      <c r="J3" s="12"/>
      <c r="K3" s="12"/>
      <c r="L3" s="12"/>
      <c r="M3" s="12"/>
      <c r="N3" s="12"/>
      <c r="O3" s="12"/>
      <c r="P3" s="9" t="str">
        <f aca="false">IF(COUNT(G3:O3)=0,"",MIN(G3:O3))</f>
        <v/>
      </c>
      <c r="Q3" s="7" t="str">
        <f aca="false">IF(P3="","",INDEX($G$1:$O$1,MATCH(P3,G3:O3,0)))</f>
        <v/>
      </c>
      <c r="R3" s="9" t="n">
        <f aca="false">IF(P3="",0,P3*D3)</f>
        <v>0</v>
      </c>
      <c r="S3" s="8" t="s">
        <v>301</v>
      </c>
    </row>
    <row r="4" customFormat="false" ht="15" hidden="false" customHeight="false" outlineLevel="0" collapsed="false">
      <c r="A4" s="6" t="s">
        <v>40</v>
      </c>
      <c r="B4" s="7" t="str">
        <f aca="false">IFERROR(INDEX(Киты!$C:$C,MATCH(A4,Киты!$A:$A,0)),"")</f>
        <v>Hyundai Solaris 2010–2017</v>
      </c>
      <c r="C4" s="7" t="s">
        <v>296</v>
      </c>
      <c r="D4" s="14" t="n">
        <v>1</v>
      </c>
      <c r="E4" s="14"/>
      <c r="F4" s="14"/>
      <c r="G4" s="12"/>
      <c r="H4" s="12"/>
      <c r="I4" s="12"/>
      <c r="J4" s="12"/>
      <c r="K4" s="12"/>
      <c r="L4" s="12"/>
      <c r="M4" s="12"/>
      <c r="N4" s="12"/>
      <c r="O4" s="12"/>
      <c r="P4" s="9" t="str">
        <f aca="false">IF(COUNT(G4:O4)=0,"",MIN(G4:O4))</f>
        <v/>
      </c>
      <c r="Q4" s="7" t="str">
        <f aca="false">IF(P4="","",INDEX($G$1:$O$1,MATCH(P4,G4:O4,0)))</f>
        <v/>
      </c>
      <c r="R4" s="9" t="n">
        <f aca="false">IF(P4="",0,P4*D4)</f>
        <v>0</v>
      </c>
      <c r="S4" s="8"/>
    </row>
    <row r="5" customFormat="false" ht="15" hidden="false" customHeight="false" outlineLevel="0" collapsed="false">
      <c r="A5" s="6" t="s">
        <v>40</v>
      </c>
      <c r="B5" s="7" t="str">
        <f aca="false">IFERROR(INDEX(Киты!$C:$C,MATCH(A5,Киты!$A:$A,0)),"")</f>
        <v>Hyundai Solaris 2010–2017</v>
      </c>
      <c r="C5" s="7" t="s">
        <v>302</v>
      </c>
      <c r="D5" s="14" t="n">
        <v>1</v>
      </c>
      <c r="E5" s="14"/>
      <c r="F5" s="14"/>
      <c r="G5" s="12"/>
      <c r="H5" s="12"/>
      <c r="I5" s="12"/>
      <c r="J5" s="12"/>
      <c r="K5" s="12"/>
      <c r="L5" s="12"/>
      <c r="M5" s="12"/>
      <c r="N5" s="12"/>
      <c r="O5" s="12"/>
      <c r="P5" s="9" t="str">
        <f aca="false">IF(COUNT(G5:O5)=0,"",MIN(G5:O5))</f>
        <v/>
      </c>
      <c r="Q5" s="7" t="str">
        <f aca="false">IF(P5="","",INDEX($G$1:$O$1,MATCH(P5,G5:O5,0)))</f>
        <v/>
      </c>
      <c r="R5" s="9" t="n">
        <f aca="false">IF(P5="",0,P5*D5)</f>
        <v>0</v>
      </c>
      <c r="S5" s="8"/>
    </row>
    <row r="6" customFormat="false" ht="15" hidden="false" customHeight="false" outlineLevel="0" collapsed="false">
      <c r="A6" s="6" t="s">
        <v>40</v>
      </c>
      <c r="B6" s="7" t="str">
        <f aca="false">IFERROR(INDEX(Киты!$C:$C,MATCH(A6,Киты!$A:$A,0)),"")</f>
        <v>Hyundai Solaris 2010–2017</v>
      </c>
      <c r="C6" s="7" t="s">
        <v>303</v>
      </c>
      <c r="D6" s="14" t="n">
        <v>1</v>
      </c>
      <c r="E6" s="14"/>
      <c r="F6" s="14"/>
      <c r="G6" s="12"/>
      <c r="H6" s="12"/>
      <c r="I6" s="12"/>
      <c r="J6" s="12"/>
      <c r="K6" s="12"/>
      <c r="L6" s="12"/>
      <c r="M6" s="12"/>
      <c r="N6" s="12"/>
      <c r="O6" s="12"/>
      <c r="P6" s="9" t="str">
        <f aca="false">IF(COUNT(G6:O6)=0,"",MIN(G6:O6))</f>
        <v/>
      </c>
      <c r="Q6" s="7" t="str">
        <f aca="false">IF(P6="","",INDEX($G$1:$O$1,MATCH(P6,G6:O6,0)))</f>
        <v/>
      </c>
      <c r="R6" s="9" t="n">
        <f aca="false">IF(P6="",0,P6*D6)</f>
        <v>0</v>
      </c>
      <c r="S6" s="8"/>
    </row>
    <row r="7" customFormat="false" ht="15" hidden="false" customHeight="false" outlineLevel="0" collapsed="false">
      <c r="A7" s="6" t="s">
        <v>40</v>
      </c>
      <c r="B7" s="7" t="str">
        <f aca="false">IFERROR(INDEX(Киты!$C:$C,MATCH(A7,Киты!$A:$A,0)),"")</f>
        <v>Hyundai Solaris 2010–2017</v>
      </c>
      <c r="C7" s="7" t="s">
        <v>304</v>
      </c>
      <c r="D7" s="14" t="n">
        <v>1</v>
      </c>
      <c r="E7" s="14"/>
      <c r="F7" s="14"/>
      <c r="G7" s="12"/>
      <c r="H7" s="12"/>
      <c r="I7" s="12"/>
      <c r="J7" s="12"/>
      <c r="K7" s="12"/>
      <c r="L7" s="12"/>
      <c r="M7" s="12"/>
      <c r="N7" s="12"/>
      <c r="O7" s="12"/>
      <c r="P7" s="9" t="str">
        <f aca="false">IF(COUNT(G7:O7)=0,"",MIN(G7:O7))</f>
        <v/>
      </c>
      <c r="Q7" s="7" t="str">
        <f aca="false">IF(P7="","",INDEX($G$1:$O$1,MATCH(P7,G7:O7,0)))</f>
        <v/>
      </c>
      <c r="R7" s="9" t="n">
        <f aca="false">IF(P7="",0,P7*D7)</f>
        <v>0</v>
      </c>
      <c r="S7" s="8"/>
    </row>
    <row r="8" customFormat="false" ht="15" hidden="false" customHeight="false" outlineLevel="0" collapsed="false">
      <c r="A8" s="6" t="s">
        <v>49</v>
      </c>
      <c r="B8" s="7" t="str">
        <f aca="false">IFERROR(INDEX(Киты!$C:$C,MATCH(A8,Киты!$A:$A,0)),"")</f>
        <v>Hyundai Solaris 2017–2022</v>
      </c>
      <c r="C8" s="7" t="s">
        <v>300</v>
      </c>
      <c r="D8" s="14" t="n">
        <v>1</v>
      </c>
      <c r="E8" s="14"/>
      <c r="F8" s="14"/>
      <c r="G8" s="12"/>
      <c r="H8" s="12"/>
      <c r="I8" s="12"/>
      <c r="J8" s="12"/>
      <c r="K8" s="12"/>
      <c r="L8" s="12"/>
      <c r="M8" s="12"/>
      <c r="N8" s="12"/>
      <c r="O8" s="12"/>
      <c r="P8" s="9" t="str">
        <f aca="false">IF(COUNT(G8:O8)=0,"",MIN(G8:O8))</f>
        <v/>
      </c>
      <c r="Q8" s="7" t="str">
        <f aca="false">IF(P8="","",INDEX($G$1:$O$1,MATCH(P8,G8:O8,0)))</f>
        <v/>
      </c>
      <c r="R8" s="9" t="n">
        <f aca="false">IF(P8="",0,P8*D8)</f>
        <v>0</v>
      </c>
      <c r="S8" s="8" t="s">
        <v>301</v>
      </c>
    </row>
    <row r="9" customFormat="false" ht="15" hidden="false" customHeight="false" outlineLevel="0" collapsed="false">
      <c r="A9" s="6" t="s">
        <v>49</v>
      </c>
      <c r="B9" s="7" t="str">
        <f aca="false">IFERROR(INDEX(Киты!$C:$C,MATCH(A9,Киты!$A:$A,0)),"")</f>
        <v>Hyundai Solaris 2017–2022</v>
      </c>
      <c r="C9" s="7" t="s">
        <v>296</v>
      </c>
      <c r="D9" s="14" t="n">
        <v>1</v>
      </c>
      <c r="E9" s="14"/>
      <c r="F9" s="14"/>
      <c r="G9" s="12"/>
      <c r="H9" s="12"/>
      <c r="I9" s="12"/>
      <c r="J9" s="12"/>
      <c r="K9" s="12"/>
      <c r="L9" s="12"/>
      <c r="M9" s="12"/>
      <c r="N9" s="12"/>
      <c r="O9" s="12"/>
      <c r="P9" s="9" t="str">
        <f aca="false">IF(COUNT(G9:O9)=0,"",MIN(G9:O9))</f>
        <v/>
      </c>
      <c r="Q9" s="7" t="str">
        <f aca="false">IF(P9="","",INDEX($G$1:$O$1,MATCH(P9,G9:O9,0)))</f>
        <v/>
      </c>
      <c r="R9" s="9" t="n">
        <f aca="false">IF(P9="",0,P9*D9)</f>
        <v>0</v>
      </c>
      <c r="S9" s="8"/>
    </row>
    <row r="10" customFormat="false" ht="15" hidden="false" customHeight="false" outlineLevel="0" collapsed="false">
      <c r="A10" s="6" t="s">
        <v>49</v>
      </c>
      <c r="B10" s="7" t="str">
        <f aca="false">IFERROR(INDEX(Киты!$C:$C,MATCH(A10,Киты!$A:$A,0)),"")</f>
        <v>Hyundai Solaris 2017–2022</v>
      </c>
      <c r="C10" s="7" t="s">
        <v>302</v>
      </c>
      <c r="D10" s="14" t="n">
        <v>1</v>
      </c>
      <c r="E10" s="14"/>
      <c r="F10" s="14"/>
      <c r="G10" s="12"/>
      <c r="H10" s="12"/>
      <c r="I10" s="12"/>
      <c r="J10" s="12"/>
      <c r="K10" s="12"/>
      <c r="L10" s="12"/>
      <c r="M10" s="12"/>
      <c r="N10" s="12"/>
      <c r="O10" s="12"/>
      <c r="P10" s="9" t="str">
        <f aca="false">IF(COUNT(G10:O10)=0,"",MIN(G10:O10))</f>
        <v/>
      </c>
      <c r="Q10" s="7" t="str">
        <f aca="false">IF(P10="","",INDEX($G$1:$O$1,MATCH(P10,G10:O10,0)))</f>
        <v/>
      </c>
      <c r="R10" s="9" t="n">
        <f aca="false">IF(P10="",0,P10*D10)</f>
        <v>0</v>
      </c>
      <c r="S10" s="8"/>
    </row>
    <row r="11" customFormat="false" ht="15" hidden="false" customHeight="false" outlineLevel="0" collapsed="false">
      <c r="A11" s="6" t="s">
        <v>49</v>
      </c>
      <c r="B11" s="7" t="str">
        <f aca="false">IFERROR(INDEX(Киты!$C:$C,MATCH(A11,Киты!$A:$A,0)),"")</f>
        <v>Hyundai Solaris 2017–2022</v>
      </c>
      <c r="C11" s="7" t="s">
        <v>303</v>
      </c>
      <c r="D11" s="14" t="n">
        <v>1</v>
      </c>
      <c r="E11" s="14"/>
      <c r="F11" s="14"/>
      <c r="G11" s="12"/>
      <c r="H11" s="12"/>
      <c r="I11" s="12"/>
      <c r="J11" s="12"/>
      <c r="K11" s="12"/>
      <c r="L11" s="12"/>
      <c r="M11" s="12"/>
      <c r="N11" s="12"/>
      <c r="O11" s="12"/>
      <c r="P11" s="9" t="str">
        <f aca="false">IF(COUNT(G11:O11)=0,"",MIN(G11:O11))</f>
        <v/>
      </c>
      <c r="Q11" s="7" t="str">
        <f aca="false">IF(P11="","",INDEX($G$1:$O$1,MATCH(P11,G11:O11,0)))</f>
        <v/>
      </c>
      <c r="R11" s="9" t="n">
        <f aca="false">IF(P11="",0,P11*D11)</f>
        <v>0</v>
      </c>
      <c r="S11" s="8"/>
    </row>
    <row r="12" customFormat="false" ht="15" hidden="false" customHeight="false" outlineLevel="0" collapsed="false">
      <c r="A12" s="6" t="s">
        <v>49</v>
      </c>
      <c r="B12" s="7" t="str">
        <f aca="false">IFERROR(INDEX(Киты!$C:$C,MATCH(A12,Киты!$A:$A,0)),"")</f>
        <v>Hyundai Solaris 2017–2022</v>
      </c>
      <c r="C12" s="7" t="s">
        <v>304</v>
      </c>
      <c r="D12" s="14" t="n">
        <v>1</v>
      </c>
      <c r="E12" s="14"/>
      <c r="F12" s="14"/>
      <c r="G12" s="12"/>
      <c r="H12" s="12"/>
      <c r="I12" s="12"/>
      <c r="J12" s="12"/>
      <c r="K12" s="12"/>
      <c r="L12" s="12"/>
      <c r="M12" s="12"/>
      <c r="N12" s="12"/>
      <c r="O12" s="12"/>
      <c r="P12" s="9" t="str">
        <f aca="false">IF(COUNT(G12:O12)=0,"",MIN(G12:O12))</f>
        <v/>
      </c>
      <c r="Q12" s="7" t="str">
        <f aca="false">IF(P12="","",INDEX($G$1:$O$1,MATCH(P12,G12:O12,0)))</f>
        <v/>
      </c>
      <c r="R12" s="9" t="n">
        <f aca="false">IF(P12="",0,P12*D12)</f>
        <v>0</v>
      </c>
      <c r="S12" s="8"/>
    </row>
    <row r="13" customFormat="false" ht="15" hidden="false" customHeight="false" outlineLevel="0" collapsed="false">
      <c r="A13" s="6" t="s">
        <v>54</v>
      </c>
      <c r="B13" s="7" t="str">
        <f aca="false">IFERROR(INDEX(Киты!$C:$C,MATCH(A13,Киты!$A:$A,0)),"")</f>
        <v>Kia Rio 2011–2017</v>
      </c>
      <c r="C13" s="7" t="s">
        <v>300</v>
      </c>
      <c r="D13" s="14" t="n">
        <v>1</v>
      </c>
      <c r="E13" s="14"/>
      <c r="F13" s="14"/>
      <c r="G13" s="12"/>
      <c r="H13" s="12"/>
      <c r="I13" s="12"/>
      <c r="J13" s="12"/>
      <c r="K13" s="12"/>
      <c r="L13" s="12"/>
      <c r="M13" s="12"/>
      <c r="N13" s="12"/>
      <c r="O13" s="12"/>
      <c r="P13" s="9" t="str">
        <f aca="false">IF(COUNT(G13:O13)=0,"",MIN(G13:O13))</f>
        <v/>
      </c>
      <c r="Q13" s="7" t="str">
        <f aca="false">IF(P13="","",INDEX($G$1:$O$1,MATCH(P13,G13:O13,0)))</f>
        <v/>
      </c>
      <c r="R13" s="9" t="n">
        <f aca="false">IF(P13="",0,P13*D13)</f>
        <v>0</v>
      </c>
      <c r="S13" s="8" t="s">
        <v>301</v>
      </c>
    </row>
    <row r="14" customFormat="false" ht="15" hidden="false" customHeight="false" outlineLevel="0" collapsed="false">
      <c r="A14" s="6" t="s">
        <v>54</v>
      </c>
      <c r="B14" s="7" t="str">
        <f aca="false">IFERROR(INDEX(Киты!$C:$C,MATCH(A14,Киты!$A:$A,0)),"")</f>
        <v>Kia Rio 2011–2017</v>
      </c>
      <c r="C14" s="7" t="s">
        <v>296</v>
      </c>
      <c r="D14" s="14" t="n">
        <v>1</v>
      </c>
      <c r="E14" s="14"/>
      <c r="F14" s="14"/>
      <c r="G14" s="12"/>
      <c r="H14" s="12"/>
      <c r="I14" s="12"/>
      <c r="J14" s="12"/>
      <c r="K14" s="12"/>
      <c r="L14" s="12"/>
      <c r="M14" s="12"/>
      <c r="N14" s="12"/>
      <c r="O14" s="12"/>
      <c r="P14" s="9" t="str">
        <f aca="false">IF(COUNT(G14:O14)=0,"",MIN(G14:O14))</f>
        <v/>
      </c>
      <c r="Q14" s="7" t="str">
        <f aca="false">IF(P14="","",INDEX($G$1:$O$1,MATCH(P14,G14:O14,0)))</f>
        <v/>
      </c>
      <c r="R14" s="9" t="n">
        <f aca="false">IF(P14="",0,P14*D14)</f>
        <v>0</v>
      </c>
      <c r="S14" s="8"/>
    </row>
    <row r="15" customFormat="false" ht="15" hidden="false" customHeight="false" outlineLevel="0" collapsed="false">
      <c r="A15" s="6" t="s">
        <v>54</v>
      </c>
      <c r="B15" s="7" t="str">
        <f aca="false">IFERROR(INDEX(Киты!$C:$C,MATCH(A15,Киты!$A:$A,0)),"")</f>
        <v>Kia Rio 2011–2017</v>
      </c>
      <c r="C15" s="7" t="s">
        <v>302</v>
      </c>
      <c r="D15" s="14" t="n">
        <v>1</v>
      </c>
      <c r="E15" s="14"/>
      <c r="F15" s="14"/>
      <c r="G15" s="12"/>
      <c r="H15" s="12"/>
      <c r="I15" s="12"/>
      <c r="J15" s="12"/>
      <c r="K15" s="12"/>
      <c r="L15" s="12"/>
      <c r="M15" s="12"/>
      <c r="N15" s="12"/>
      <c r="O15" s="12"/>
      <c r="P15" s="9" t="str">
        <f aca="false">IF(COUNT(G15:O15)=0,"",MIN(G15:O15))</f>
        <v/>
      </c>
      <c r="Q15" s="7" t="str">
        <f aca="false">IF(P15="","",INDEX($G$1:$O$1,MATCH(P15,G15:O15,0)))</f>
        <v/>
      </c>
      <c r="R15" s="9" t="n">
        <f aca="false">IF(P15="",0,P15*D15)</f>
        <v>0</v>
      </c>
      <c r="S15" s="8"/>
    </row>
    <row r="16" customFormat="false" ht="15" hidden="false" customHeight="false" outlineLevel="0" collapsed="false">
      <c r="A16" s="6" t="s">
        <v>54</v>
      </c>
      <c r="B16" s="7" t="str">
        <f aca="false">IFERROR(INDEX(Киты!$C:$C,MATCH(A16,Киты!$A:$A,0)),"")</f>
        <v>Kia Rio 2011–2017</v>
      </c>
      <c r="C16" s="7" t="s">
        <v>303</v>
      </c>
      <c r="D16" s="14" t="n">
        <v>1</v>
      </c>
      <c r="E16" s="14"/>
      <c r="F16" s="14"/>
      <c r="G16" s="12"/>
      <c r="H16" s="12"/>
      <c r="I16" s="12"/>
      <c r="J16" s="12"/>
      <c r="K16" s="12"/>
      <c r="L16" s="12"/>
      <c r="M16" s="12"/>
      <c r="N16" s="12"/>
      <c r="O16" s="12"/>
      <c r="P16" s="9" t="str">
        <f aca="false">IF(COUNT(G16:O16)=0,"",MIN(G16:O16))</f>
        <v/>
      </c>
      <c r="Q16" s="7" t="str">
        <f aca="false">IF(P16="","",INDEX($G$1:$O$1,MATCH(P16,G16:O16,0)))</f>
        <v/>
      </c>
      <c r="R16" s="9" t="n">
        <f aca="false">IF(P16="",0,P16*D16)</f>
        <v>0</v>
      </c>
      <c r="S16" s="8"/>
    </row>
    <row r="17" customFormat="false" ht="15" hidden="false" customHeight="false" outlineLevel="0" collapsed="false">
      <c r="A17" s="6" t="s">
        <v>54</v>
      </c>
      <c r="B17" s="7" t="str">
        <f aca="false">IFERROR(INDEX(Киты!$C:$C,MATCH(A17,Киты!$A:$A,0)),"")</f>
        <v>Kia Rio 2011–2017</v>
      </c>
      <c r="C17" s="7" t="s">
        <v>304</v>
      </c>
      <c r="D17" s="14" t="n">
        <v>1</v>
      </c>
      <c r="E17" s="14"/>
      <c r="F17" s="14"/>
      <c r="G17" s="12"/>
      <c r="H17" s="12"/>
      <c r="I17" s="12"/>
      <c r="J17" s="12"/>
      <c r="K17" s="12"/>
      <c r="L17" s="12"/>
      <c r="M17" s="12"/>
      <c r="N17" s="12"/>
      <c r="O17" s="12"/>
      <c r="P17" s="9" t="str">
        <f aca="false">IF(COUNT(G17:O17)=0,"",MIN(G17:O17))</f>
        <v/>
      </c>
      <c r="Q17" s="7" t="str">
        <f aca="false">IF(P17="","",INDEX($G$1:$O$1,MATCH(P17,G17:O17,0)))</f>
        <v/>
      </c>
      <c r="R17" s="9" t="n">
        <f aca="false">IF(P17="",0,P17*D17)</f>
        <v>0</v>
      </c>
      <c r="S17" s="8"/>
    </row>
    <row r="18" customFormat="false" ht="15" hidden="false" customHeight="false" outlineLevel="0" collapsed="false">
      <c r="A18" s="6" t="s">
        <v>58</v>
      </c>
      <c r="B18" s="7" t="str">
        <f aca="false">IFERROR(INDEX(Киты!$C:$C,MATCH(A18,Киты!$A:$A,0)),"")</f>
        <v>Kia Rio 2017–2021</v>
      </c>
      <c r="C18" s="7" t="s">
        <v>300</v>
      </c>
      <c r="D18" s="14" t="n">
        <v>1</v>
      </c>
      <c r="E18" s="14"/>
      <c r="F18" s="14"/>
      <c r="G18" s="12"/>
      <c r="H18" s="12"/>
      <c r="I18" s="12"/>
      <c r="J18" s="12"/>
      <c r="K18" s="12"/>
      <c r="L18" s="12"/>
      <c r="M18" s="12"/>
      <c r="N18" s="12"/>
      <c r="O18" s="12"/>
      <c r="P18" s="9" t="str">
        <f aca="false">IF(COUNT(G18:O18)=0,"",MIN(G18:O18))</f>
        <v/>
      </c>
      <c r="Q18" s="7" t="str">
        <f aca="false">IF(P18="","",INDEX($G$1:$O$1,MATCH(P18,G18:O18,0)))</f>
        <v/>
      </c>
      <c r="R18" s="9" t="n">
        <f aca="false">IF(P18="",0,P18*D18)</f>
        <v>0</v>
      </c>
      <c r="S18" s="8" t="s">
        <v>301</v>
      </c>
    </row>
    <row r="19" customFormat="false" ht="15" hidden="false" customHeight="false" outlineLevel="0" collapsed="false">
      <c r="A19" s="6" t="s">
        <v>58</v>
      </c>
      <c r="B19" s="7" t="str">
        <f aca="false">IFERROR(INDEX(Киты!$C:$C,MATCH(A19,Киты!$A:$A,0)),"")</f>
        <v>Kia Rio 2017–2021</v>
      </c>
      <c r="C19" s="7" t="s">
        <v>296</v>
      </c>
      <c r="D19" s="14" t="n">
        <v>1</v>
      </c>
      <c r="E19" s="14"/>
      <c r="F19" s="14"/>
      <c r="G19" s="12"/>
      <c r="H19" s="12"/>
      <c r="I19" s="12"/>
      <c r="J19" s="12"/>
      <c r="K19" s="12"/>
      <c r="L19" s="12"/>
      <c r="M19" s="12"/>
      <c r="N19" s="12"/>
      <c r="O19" s="12"/>
      <c r="P19" s="9" t="str">
        <f aca="false">IF(COUNT(G19:O19)=0,"",MIN(G19:O19))</f>
        <v/>
      </c>
      <c r="Q19" s="7" t="str">
        <f aca="false">IF(P19="","",INDEX($G$1:$O$1,MATCH(P19,G19:O19,0)))</f>
        <v/>
      </c>
      <c r="R19" s="9" t="n">
        <f aca="false">IF(P19="",0,P19*D19)</f>
        <v>0</v>
      </c>
      <c r="S19" s="8"/>
    </row>
    <row r="20" customFormat="false" ht="15" hidden="false" customHeight="false" outlineLevel="0" collapsed="false">
      <c r="A20" s="6" t="s">
        <v>58</v>
      </c>
      <c r="B20" s="7" t="str">
        <f aca="false">IFERROR(INDEX(Киты!$C:$C,MATCH(A20,Киты!$A:$A,0)),"")</f>
        <v>Kia Rio 2017–2021</v>
      </c>
      <c r="C20" s="7" t="s">
        <v>302</v>
      </c>
      <c r="D20" s="14" t="n">
        <v>1</v>
      </c>
      <c r="E20" s="14"/>
      <c r="F20" s="14"/>
      <c r="G20" s="12"/>
      <c r="H20" s="12"/>
      <c r="I20" s="12"/>
      <c r="J20" s="12"/>
      <c r="K20" s="12"/>
      <c r="L20" s="12"/>
      <c r="M20" s="12"/>
      <c r="N20" s="12"/>
      <c r="O20" s="12"/>
      <c r="P20" s="9" t="str">
        <f aca="false">IF(COUNT(G20:O20)=0,"",MIN(G20:O20))</f>
        <v/>
      </c>
      <c r="Q20" s="7" t="str">
        <f aca="false">IF(P20="","",INDEX($G$1:$O$1,MATCH(P20,G20:O20,0)))</f>
        <v/>
      </c>
      <c r="R20" s="9" t="n">
        <f aca="false">IF(P20="",0,P20*D20)</f>
        <v>0</v>
      </c>
      <c r="S20" s="8"/>
    </row>
    <row r="21" customFormat="false" ht="15" hidden="false" customHeight="false" outlineLevel="0" collapsed="false">
      <c r="A21" s="6" t="s">
        <v>58</v>
      </c>
      <c r="B21" s="7" t="str">
        <f aca="false">IFERROR(INDEX(Киты!$C:$C,MATCH(A21,Киты!$A:$A,0)),"")</f>
        <v>Kia Rio 2017–2021</v>
      </c>
      <c r="C21" s="7" t="s">
        <v>303</v>
      </c>
      <c r="D21" s="14" t="n">
        <v>1</v>
      </c>
      <c r="E21" s="14"/>
      <c r="F21" s="14"/>
      <c r="G21" s="12"/>
      <c r="H21" s="12"/>
      <c r="I21" s="12"/>
      <c r="J21" s="12"/>
      <c r="K21" s="12"/>
      <c r="L21" s="12"/>
      <c r="M21" s="12"/>
      <c r="N21" s="12"/>
      <c r="O21" s="12"/>
      <c r="P21" s="9" t="str">
        <f aca="false">IF(COUNT(G21:O21)=0,"",MIN(G21:O21))</f>
        <v/>
      </c>
      <c r="Q21" s="7" t="str">
        <f aca="false">IF(P21="","",INDEX($G$1:$O$1,MATCH(P21,G21:O21,0)))</f>
        <v/>
      </c>
      <c r="R21" s="9" t="n">
        <f aca="false">IF(P21="",0,P21*D21)</f>
        <v>0</v>
      </c>
      <c r="S21" s="8"/>
    </row>
    <row r="22" customFormat="false" ht="15" hidden="false" customHeight="false" outlineLevel="0" collapsed="false">
      <c r="A22" s="6" t="s">
        <v>58</v>
      </c>
      <c r="B22" s="7" t="str">
        <f aca="false">IFERROR(INDEX(Киты!$C:$C,MATCH(A22,Киты!$A:$A,0)),"")</f>
        <v>Kia Rio 2017–2021</v>
      </c>
      <c r="C22" s="7" t="s">
        <v>304</v>
      </c>
      <c r="D22" s="14" t="n">
        <v>1</v>
      </c>
      <c r="E22" s="14"/>
      <c r="F22" s="14"/>
      <c r="G22" s="12"/>
      <c r="H22" s="12"/>
      <c r="I22" s="12"/>
      <c r="J22" s="12"/>
      <c r="K22" s="12"/>
      <c r="L22" s="12"/>
      <c r="M22" s="12"/>
      <c r="N22" s="12"/>
      <c r="O22" s="12"/>
      <c r="P22" s="9" t="str">
        <f aca="false">IF(COUNT(G22:O22)=0,"",MIN(G22:O22))</f>
        <v/>
      </c>
      <c r="Q22" s="7" t="str">
        <f aca="false">IF(P22="","",INDEX($G$1:$O$1,MATCH(P22,G22:O22,0)))</f>
        <v/>
      </c>
      <c r="R22" s="9" t="n">
        <f aca="false">IF(P22="",0,P22*D22)</f>
        <v>0</v>
      </c>
      <c r="S22" s="8"/>
    </row>
    <row r="23" customFormat="false" ht="15" hidden="false" customHeight="false" outlineLevel="0" collapsed="false">
      <c r="A23" s="6" t="s">
        <v>62</v>
      </c>
      <c r="B23" s="7" t="str">
        <f aca="false">IFERROR(INDEX(Киты!$C:$C,MATCH(A23,Киты!$A:$A,0)),"")</f>
        <v>VW Polo 1.6 CFNA</v>
      </c>
      <c r="C23" s="7" t="s">
        <v>300</v>
      </c>
      <c r="D23" s="14" t="n">
        <v>1</v>
      </c>
      <c r="E23" s="14"/>
      <c r="F23" s="14"/>
      <c r="G23" s="12"/>
      <c r="H23" s="12"/>
      <c r="I23" s="12"/>
      <c r="J23" s="12"/>
      <c r="K23" s="12"/>
      <c r="L23" s="12"/>
      <c r="M23" s="12"/>
      <c r="N23" s="12"/>
      <c r="O23" s="12"/>
      <c r="P23" s="9" t="str">
        <f aca="false">IF(COUNT(G23:O23)=0,"",MIN(G23:O23))</f>
        <v/>
      </c>
      <c r="Q23" s="7" t="str">
        <f aca="false">IF(P23="","",INDEX($G$1:$O$1,MATCH(P23,G23:O23,0)))</f>
        <v/>
      </c>
      <c r="R23" s="9" t="n">
        <f aca="false">IF(P23="",0,P23*D23)</f>
        <v>0</v>
      </c>
      <c r="S23" s="8" t="s">
        <v>301</v>
      </c>
    </row>
    <row r="24" customFormat="false" ht="15" hidden="false" customHeight="false" outlineLevel="0" collapsed="false">
      <c r="A24" s="6" t="s">
        <v>62</v>
      </c>
      <c r="B24" s="7" t="str">
        <f aca="false">IFERROR(INDEX(Киты!$C:$C,MATCH(A24,Киты!$A:$A,0)),"")</f>
        <v>VW Polo 1.6 CFNA</v>
      </c>
      <c r="C24" s="7" t="s">
        <v>296</v>
      </c>
      <c r="D24" s="14" t="n">
        <v>1</v>
      </c>
      <c r="E24" s="14"/>
      <c r="F24" s="14"/>
      <c r="G24" s="12"/>
      <c r="H24" s="12"/>
      <c r="I24" s="12"/>
      <c r="J24" s="12"/>
      <c r="K24" s="12"/>
      <c r="L24" s="12"/>
      <c r="M24" s="12"/>
      <c r="N24" s="12"/>
      <c r="O24" s="12"/>
      <c r="P24" s="9" t="str">
        <f aca="false">IF(COUNT(G24:O24)=0,"",MIN(G24:O24))</f>
        <v/>
      </c>
      <c r="Q24" s="7" t="str">
        <f aca="false">IF(P24="","",INDEX($G$1:$O$1,MATCH(P24,G24:O24,0)))</f>
        <v/>
      </c>
      <c r="R24" s="9" t="n">
        <f aca="false">IF(P24="",0,P24*D24)</f>
        <v>0</v>
      </c>
      <c r="S24" s="8"/>
    </row>
    <row r="25" customFormat="false" ht="15" hidden="false" customHeight="false" outlineLevel="0" collapsed="false">
      <c r="A25" s="6" t="s">
        <v>62</v>
      </c>
      <c r="B25" s="7" t="str">
        <f aca="false">IFERROR(INDEX(Киты!$C:$C,MATCH(A25,Киты!$A:$A,0)),"")</f>
        <v>VW Polo 1.6 CFNA</v>
      </c>
      <c r="C25" s="7" t="s">
        <v>302</v>
      </c>
      <c r="D25" s="14" t="n">
        <v>1</v>
      </c>
      <c r="E25" s="14"/>
      <c r="F25" s="14"/>
      <c r="G25" s="12"/>
      <c r="H25" s="12"/>
      <c r="I25" s="12"/>
      <c r="J25" s="12"/>
      <c r="K25" s="12"/>
      <c r="L25" s="12"/>
      <c r="M25" s="12"/>
      <c r="N25" s="12"/>
      <c r="O25" s="12"/>
      <c r="P25" s="9" t="str">
        <f aca="false">IF(COUNT(G25:O25)=0,"",MIN(G25:O25))</f>
        <v/>
      </c>
      <c r="Q25" s="7" t="str">
        <f aca="false">IF(P25="","",INDEX($G$1:$O$1,MATCH(P25,G25:O25,0)))</f>
        <v/>
      </c>
      <c r="R25" s="9" t="n">
        <f aca="false">IF(P25="",0,P25*D25)</f>
        <v>0</v>
      </c>
      <c r="S25" s="8"/>
    </row>
    <row r="26" customFormat="false" ht="15" hidden="false" customHeight="false" outlineLevel="0" collapsed="false">
      <c r="A26" s="6" t="s">
        <v>62</v>
      </c>
      <c r="B26" s="7" t="str">
        <f aca="false">IFERROR(INDEX(Киты!$C:$C,MATCH(A26,Киты!$A:$A,0)),"")</f>
        <v>VW Polo 1.6 CFNA</v>
      </c>
      <c r="C26" s="7" t="s">
        <v>303</v>
      </c>
      <c r="D26" s="14" t="n">
        <v>1</v>
      </c>
      <c r="E26" s="14"/>
      <c r="F26" s="14"/>
      <c r="G26" s="12"/>
      <c r="H26" s="12"/>
      <c r="I26" s="12"/>
      <c r="J26" s="12"/>
      <c r="K26" s="12"/>
      <c r="L26" s="12"/>
      <c r="M26" s="12"/>
      <c r="N26" s="12"/>
      <c r="O26" s="12"/>
      <c r="P26" s="9" t="str">
        <f aca="false">IF(COUNT(G26:O26)=0,"",MIN(G26:O26))</f>
        <v/>
      </c>
      <c r="Q26" s="7" t="str">
        <f aca="false">IF(P26="","",INDEX($G$1:$O$1,MATCH(P26,G26:O26,0)))</f>
        <v/>
      </c>
      <c r="R26" s="9" t="n">
        <f aca="false">IF(P26="",0,P26*D26)</f>
        <v>0</v>
      </c>
      <c r="S26" s="8"/>
    </row>
    <row r="27" customFormat="false" ht="15" hidden="false" customHeight="false" outlineLevel="0" collapsed="false">
      <c r="A27" s="6" t="s">
        <v>62</v>
      </c>
      <c r="B27" s="7" t="str">
        <f aca="false">IFERROR(INDEX(Киты!$C:$C,MATCH(A27,Киты!$A:$A,0)),"")</f>
        <v>VW Polo 1.6 CFNA</v>
      </c>
      <c r="C27" s="7" t="s">
        <v>304</v>
      </c>
      <c r="D27" s="14" t="n">
        <v>1</v>
      </c>
      <c r="E27" s="14"/>
      <c r="F27" s="14"/>
      <c r="G27" s="12"/>
      <c r="H27" s="12"/>
      <c r="I27" s="12"/>
      <c r="J27" s="12"/>
      <c r="K27" s="12"/>
      <c r="L27" s="12"/>
      <c r="M27" s="12"/>
      <c r="N27" s="12"/>
      <c r="O27" s="12"/>
      <c r="P27" s="9" t="str">
        <f aca="false">IF(COUNT(G27:O27)=0,"",MIN(G27:O27))</f>
        <v/>
      </c>
      <c r="Q27" s="7" t="str">
        <f aca="false">IF(P27="","",INDEX($G$1:$O$1,MATCH(P27,G27:O27,0)))</f>
        <v/>
      </c>
      <c r="R27" s="9" t="n">
        <f aca="false">IF(P27="",0,P27*D27)</f>
        <v>0</v>
      </c>
      <c r="S27" s="8"/>
    </row>
    <row r="28" customFormat="false" ht="15" hidden="false" customHeight="false" outlineLevel="0" collapsed="false">
      <c r="A28" s="6" t="s">
        <v>67</v>
      </c>
      <c r="B28" s="7" t="str">
        <f aca="false">IFERROR(INDEX(Киты!$C:$C,MATCH(A28,Киты!$A:$A,0)),"")</f>
        <v>VW Polo 1.6 CWVA</v>
      </c>
      <c r="C28" s="7" t="s">
        <v>300</v>
      </c>
      <c r="D28" s="14" t="n">
        <v>1</v>
      </c>
      <c r="E28" s="14"/>
      <c r="F28" s="14"/>
      <c r="G28" s="12"/>
      <c r="H28" s="12"/>
      <c r="I28" s="12"/>
      <c r="J28" s="12"/>
      <c r="K28" s="12"/>
      <c r="L28" s="12"/>
      <c r="M28" s="12"/>
      <c r="N28" s="12"/>
      <c r="O28" s="12"/>
      <c r="P28" s="9" t="str">
        <f aca="false">IF(COUNT(G28:O28)=0,"",MIN(G28:O28))</f>
        <v/>
      </c>
      <c r="Q28" s="7" t="str">
        <f aca="false">IF(P28="","",INDEX($G$1:$O$1,MATCH(P28,G28:O28,0)))</f>
        <v/>
      </c>
      <c r="R28" s="9" t="n">
        <f aca="false">IF(P28="",0,P28*D28)</f>
        <v>0</v>
      </c>
      <c r="S28" s="8" t="s">
        <v>301</v>
      </c>
    </row>
    <row r="29" customFormat="false" ht="15" hidden="false" customHeight="false" outlineLevel="0" collapsed="false">
      <c r="A29" s="6" t="s">
        <v>67</v>
      </c>
      <c r="B29" s="7" t="str">
        <f aca="false">IFERROR(INDEX(Киты!$C:$C,MATCH(A29,Киты!$A:$A,0)),"")</f>
        <v>VW Polo 1.6 CWVA</v>
      </c>
      <c r="C29" s="7" t="s">
        <v>296</v>
      </c>
      <c r="D29" s="14" t="n">
        <v>1</v>
      </c>
      <c r="E29" s="14"/>
      <c r="F29" s="14"/>
      <c r="G29" s="12"/>
      <c r="H29" s="12"/>
      <c r="I29" s="12"/>
      <c r="J29" s="12"/>
      <c r="K29" s="12"/>
      <c r="L29" s="12"/>
      <c r="M29" s="12"/>
      <c r="N29" s="12"/>
      <c r="O29" s="12"/>
      <c r="P29" s="9" t="str">
        <f aca="false">IF(COUNT(G29:O29)=0,"",MIN(G29:O29))</f>
        <v/>
      </c>
      <c r="Q29" s="7" t="str">
        <f aca="false">IF(P29="","",INDEX($G$1:$O$1,MATCH(P29,G29:O29,0)))</f>
        <v/>
      </c>
      <c r="R29" s="9" t="n">
        <f aca="false">IF(P29="",0,P29*D29)</f>
        <v>0</v>
      </c>
      <c r="S29" s="8"/>
    </row>
    <row r="30" customFormat="false" ht="15" hidden="false" customHeight="false" outlineLevel="0" collapsed="false">
      <c r="A30" s="6" t="s">
        <v>67</v>
      </c>
      <c r="B30" s="7" t="str">
        <f aca="false">IFERROR(INDEX(Киты!$C:$C,MATCH(A30,Киты!$A:$A,0)),"")</f>
        <v>VW Polo 1.6 CWVA</v>
      </c>
      <c r="C30" s="7" t="s">
        <v>302</v>
      </c>
      <c r="D30" s="14" t="n">
        <v>1</v>
      </c>
      <c r="E30" s="14"/>
      <c r="F30" s="14"/>
      <c r="G30" s="12"/>
      <c r="H30" s="12"/>
      <c r="I30" s="12"/>
      <c r="J30" s="12"/>
      <c r="K30" s="12"/>
      <c r="L30" s="12"/>
      <c r="M30" s="12"/>
      <c r="N30" s="12"/>
      <c r="O30" s="12"/>
      <c r="P30" s="9" t="str">
        <f aca="false">IF(COUNT(G30:O30)=0,"",MIN(G30:O30))</f>
        <v/>
      </c>
      <c r="Q30" s="7" t="str">
        <f aca="false">IF(P30="","",INDEX($G$1:$O$1,MATCH(P30,G30:O30,0)))</f>
        <v/>
      </c>
      <c r="R30" s="9" t="n">
        <f aca="false">IF(P30="",0,P30*D30)</f>
        <v>0</v>
      </c>
      <c r="S30" s="8"/>
    </row>
    <row r="31" customFormat="false" ht="15" hidden="false" customHeight="false" outlineLevel="0" collapsed="false">
      <c r="A31" s="6" t="s">
        <v>67</v>
      </c>
      <c r="B31" s="7" t="str">
        <f aca="false">IFERROR(INDEX(Киты!$C:$C,MATCH(A31,Киты!$A:$A,0)),"")</f>
        <v>VW Polo 1.6 CWVA</v>
      </c>
      <c r="C31" s="7" t="s">
        <v>303</v>
      </c>
      <c r="D31" s="14" t="n">
        <v>1</v>
      </c>
      <c r="E31" s="14"/>
      <c r="F31" s="14"/>
      <c r="G31" s="12"/>
      <c r="H31" s="12"/>
      <c r="I31" s="12"/>
      <c r="J31" s="12"/>
      <c r="K31" s="12"/>
      <c r="L31" s="12"/>
      <c r="M31" s="12"/>
      <c r="N31" s="12"/>
      <c r="O31" s="12"/>
      <c r="P31" s="9" t="str">
        <f aca="false">IF(COUNT(G31:O31)=0,"",MIN(G31:O31))</f>
        <v/>
      </c>
      <c r="Q31" s="7" t="str">
        <f aca="false">IF(P31="","",INDEX($G$1:$O$1,MATCH(P31,G31:O31,0)))</f>
        <v/>
      </c>
      <c r="R31" s="9" t="n">
        <f aca="false">IF(P31="",0,P31*D31)</f>
        <v>0</v>
      </c>
      <c r="S31" s="8"/>
    </row>
    <row r="32" customFormat="false" ht="15" hidden="false" customHeight="false" outlineLevel="0" collapsed="false">
      <c r="A32" s="6" t="s">
        <v>67</v>
      </c>
      <c r="B32" s="7" t="str">
        <f aca="false">IFERROR(INDEX(Киты!$C:$C,MATCH(A32,Киты!$A:$A,0)),"")</f>
        <v>VW Polo 1.6 CWVA</v>
      </c>
      <c r="C32" s="7" t="s">
        <v>304</v>
      </c>
      <c r="D32" s="14" t="n">
        <v>1</v>
      </c>
      <c r="E32" s="14"/>
      <c r="F32" s="14"/>
      <c r="G32" s="12"/>
      <c r="H32" s="12"/>
      <c r="I32" s="12"/>
      <c r="J32" s="12"/>
      <c r="K32" s="12"/>
      <c r="L32" s="12"/>
      <c r="M32" s="12"/>
      <c r="N32" s="12"/>
      <c r="O32" s="12"/>
      <c r="P32" s="9" t="str">
        <f aca="false">IF(COUNT(G32:O32)=0,"",MIN(G32:O32))</f>
        <v/>
      </c>
      <c r="Q32" s="7" t="str">
        <f aca="false">IF(P32="","",INDEX($G$1:$O$1,MATCH(P32,G32:O32,0)))</f>
        <v/>
      </c>
      <c r="R32" s="9" t="n">
        <f aca="false">IF(P32="",0,P32*D32)</f>
        <v>0</v>
      </c>
      <c r="S32" s="8"/>
    </row>
    <row r="33" customFormat="false" ht="15" hidden="false" customHeight="false" outlineLevel="0" collapsed="false">
      <c r="A33" s="6" t="s">
        <v>73</v>
      </c>
      <c r="B33" s="7" t="str">
        <f aca="false">IFERROR(INDEX(Киты!$C:$C,MATCH(A33,Киты!$A:$A,0)),"")</f>
        <v>Haval Jolion 1.5T</v>
      </c>
      <c r="C33" s="7" t="s">
        <v>300</v>
      </c>
      <c r="D33" s="14" t="n">
        <v>1</v>
      </c>
      <c r="E33" s="14"/>
      <c r="F33" s="14"/>
      <c r="G33" s="12"/>
      <c r="H33" s="12"/>
      <c r="I33" s="12"/>
      <c r="J33" s="12"/>
      <c r="K33" s="12"/>
      <c r="L33" s="12"/>
      <c r="M33" s="12"/>
      <c r="N33" s="12"/>
      <c r="O33" s="12"/>
      <c r="P33" s="9" t="str">
        <f aca="false">IF(COUNT(G33:O33)=0,"",MIN(G33:O33))</f>
        <v/>
      </c>
      <c r="Q33" s="7" t="str">
        <f aca="false">IF(P33="","",INDEX($G$1:$O$1,MATCH(P33,G33:O33,0)))</f>
        <v/>
      </c>
      <c r="R33" s="9" t="n">
        <f aca="false">IF(P33="",0,P33*D33)</f>
        <v>0</v>
      </c>
      <c r="S33" s="8" t="s">
        <v>301</v>
      </c>
    </row>
    <row r="34" customFormat="false" ht="15" hidden="false" customHeight="false" outlineLevel="0" collapsed="false">
      <c r="A34" s="6" t="s">
        <v>73</v>
      </c>
      <c r="B34" s="7" t="str">
        <f aca="false">IFERROR(INDEX(Киты!$C:$C,MATCH(A34,Киты!$A:$A,0)),"")</f>
        <v>Haval Jolion 1.5T</v>
      </c>
      <c r="C34" s="7" t="s">
        <v>305</v>
      </c>
      <c r="D34" s="14" t="n">
        <v>0</v>
      </c>
      <c r="E34" s="14"/>
      <c r="F34" s="14"/>
      <c r="G34" s="12"/>
      <c r="H34" s="12"/>
      <c r="I34" s="12"/>
      <c r="J34" s="12"/>
      <c r="K34" s="12"/>
      <c r="L34" s="12"/>
      <c r="M34" s="12"/>
      <c r="N34" s="12"/>
      <c r="O34" s="12"/>
      <c r="P34" s="9" t="str">
        <f aca="false">IF(COUNT(G34:O34)=0,"",MIN(G34:O34))</f>
        <v/>
      </c>
      <c r="Q34" s="7" t="str">
        <f aca="false">IF(P34="","",INDEX($G$1:$O$1,MATCH(P34,G34:O34,0)))</f>
        <v/>
      </c>
      <c r="R34" s="9" t="n">
        <f aca="false">IF(P34="",0,P34*D34)</f>
        <v>0</v>
      </c>
      <c r="S34" s="8" t="s">
        <v>306</v>
      </c>
    </row>
    <row r="35" customFormat="false" ht="15" hidden="false" customHeight="false" outlineLevel="0" collapsed="false">
      <c r="A35" s="6" t="s">
        <v>73</v>
      </c>
      <c r="B35" s="7" t="str">
        <f aca="false">IFERROR(INDEX(Киты!$C:$C,MATCH(A35,Киты!$A:$A,0)),"")</f>
        <v>Haval Jolion 1.5T</v>
      </c>
      <c r="C35" s="7" t="s">
        <v>296</v>
      </c>
      <c r="D35" s="14" t="n">
        <v>1</v>
      </c>
      <c r="E35" s="14"/>
      <c r="F35" s="14"/>
      <c r="G35" s="12"/>
      <c r="H35" s="12"/>
      <c r="I35" s="12"/>
      <c r="J35" s="12"/>
      <c r="K35" s="12"/>
      <c r="L35" s="12"/>
      <c r="M35" s="12"/>
      <c r="N35" s="12"/>
      <c r="O35" s="12"/>
      <c r="P35" s="9" t="str">
        <f aca="false">IF(COUNT(G35:O35)=0,"",MIN(G35:O35))</f>
        <v/>
      </c>
      <c r="Q35" s="7" t="str">
        <f aca="false">IF(P35="","",INDEX($G$1:$O$1,MATCH(P35,G35:O35,0)))</f>
        <v/>
      </c>
      <c r="R35" s="9" t="n">
        <f aca="false">IF(P35="",0,P35*D35)</f>
        <v>0</v>
      </c>
      <c r="S35" s="8"/>
    </row>
    <row r="36" customFormat="false" ht="15" hidden="false" customHeight="false" outlineLevel="0" collapsed="false">
      <c r="A36" s="6" t="s">
        <v>73</v>
      </c>
      <c r="B36" s="7" t="str">
        <f aca="false">IFERROR(INDEX(Киты!$C:$C,MATCH(A36,Киты!$A:$A,0)),"")</f>
        <v>Haval Jolion 1.5T</v>
      </c>
      <c r="C36" s="7" t="s">
        <v>302</v>
      </c>
      <c r="D36" s="14" t="n">
        <v>1</v>
      </c>
      <c r="E36" s="14"/>
      <c r="F36" s="14"/>
      <c r="G36" s="12"/>
      <c r="H36" s="12"/>
      <c r="I36" s="12"/>
      <c r="J36" s="12"/>
      <c r="K36" s="12"/>
      <c r="L36" s="12"/>
      <c r="M36" s="12"/>
      <c r="N36" s="12"/>
      <c r="O36" s="12"/>
      <c r="P36" s="9" t="str">
        <f aca="false">IF(COUNT(G36:O36)=0,"",MIN(G36:O36))</f>
        <v/>
      </c>
      <c r="Q36" s="7" t="str">
        <f aca="false">IF(P36="","",INDEX($G$1:$O$1,MATCH(P36,G36:O36,0)))</f>
        <v/>
      </c>
      <c r="R36" s="9" t="n">
        <f aca="false">IF(P36="",0,P36*D36)</f>
        <v>0</v>
      </c>
      <c r="S36" s="8"/>
    </row>
    <row r="37" customFormat="false" ht="15" hidden="false" customHeight="false" outlineLevel="0" collapsed="false">
      <c r="A37" s="6" t="s">
        <v>73</v>
      </c>
      <c r="B37" s="7" t="str">
        <f aca="false">IFERROR(INDEX(Киты!$C:$C,MATCH(A37,Киты!$A:$A,0)),"")</f>
        <v>Haval Jolion 1.5T</v>
      </c>
      <c r="C37" s="7" t="s">
        <v>303</v>
      </c>
      <c r="D37" s="14" t="n">
        <v>1</v>
      </c>
      <c r="E37" s="14"/>
      <c r="F37" s="14"/>
      <c r="G37" s="12"/>
      <c r="H37" s="12"/>
      <c r="I37" s="12"/>
      <c r="J37" s="12"/>
      <c r="K37" s="12"/>
      <c r="L37" s="12"/>
      <c r="M37" s="12"/>
      <c r="N37" s="12"/>
      <c r="O37" s="12"/>
      <c r="P37" s="9" t="str">
        <f aca="false">IF(COUNT(G37:O37)=0,"",MIN(G37:O37))</f>
        <v/>
      </c>
      <c r="Q37" s="7" t="str">
        <f aca="false">IF(P37="","",INDEX($G$1:$O$1,MATCH(P37,G37:O37,0)))</f>
        <v/>
      </c>
      <c r="R37" s="9" t="n">
        <f aca="false">IF(P37="",0,P37*D37)</f>
        <v>0</v>
      </c>
      <c r="S37" s="8"/>
    </row>
    <row r="38" customFormat="false" ht="15" hidden="false" customHeight="false" outlineLevel="0" collapsed="false">
      <c r="A38" s="6" t="s">
        <v>73</v>
      </c>
      <c r="B38" s="7" t="str">
        <f aca="false">IFERROR(INDEX(Киты!$C:$C,MATCH(A38,Киты!$A:$A,0)),"")</f>
        <v>Haval Jolion 1.5T</v>
      </c>
      <c r="C38" s="7" t="s">
        <v>304</v>
      </c>
      <c r="D38" s="14" t="n">
        <v>1</v>
      </c>
      <c r="E38" s="14"/>
      <c r="F38" s="14"/>
      <c r="G38" s="12"/>
      <c r="H38" s="12"/>
      <c r="I38" s="12"/>
      <c r="J38" s="12"/>
      <c r="K38" s="12"/>
      <c r="L38" s="12"/>
      <c r="M38" s="12"/>
      <c r="N38" s="12"/>
      <c r="O38" s="12"/>
      <c r="P38" s="9" t="str">
        <f aca="false">IF(COUNT(G38:O38)=0,"",MIN(G38:O38))</f>
        <v/>
      </c>
      <c r="Q38" s="7" t="str">
        <f aca="false">IF(P38="","",INDEX($G$1:$O$1,MATCH(P38,G38:O38,0)))</f>
        <v/>
      </c>
      <c r="R38" s="9" t="n">
        <f aca="false">IF(P38="",0,P38*D38)</f>
        <v>0</v>
      </c>
      <c r="S38" s="8"/>
    </row>
    <row r="39" customFormat="false" ht="15" hidden="false" customHeight="false" outlineLevel="0" collapsed="false">
      <c r="A39" s="6" t="s">
        <v>78</v>
      </c>
      <c r="B39" s="7" t="str">
        <f aca="false">IFERROR(INDEX(Киты!$C:$C,MATCH(A39,Киты!$A:$A,0)),"")</f>
        <v>Haval F7 / F7x 1.5T</v>
      </c>
      <c r="C39" s="7" t="s">
        <v>300</v>
      </c>
      <c r="D39" s="14" t="n">
        <v>1</v>
      </c>
      <c r="E39" s="14"/>
      <c r="F39" s="14"/>
      <c r="G39" s="12"/>
      <c r="H39" s="12"/>
      <c r="I39" s="12"/>
      <c r="J39" s="12"/>
      <c r="K39" s="12"/>
      <c r="L39" s="12"/>
      <c r="M39" s="12"/>
      <c r="N39" s="12"/>
      <c r="O39" s="12"/>
      <c r="P39" s="9" t="str">
        <f aca="false">IF(COUNT(G39:O39)=0,"",MIN(G39:O39))</f>
        <v/>
      </c>
      <c r="Q39" s="7" t="str">
        <f aca="false">IF(P39="","",INDEX($G$1:$O$1,MATCH(P39,G39:O39,0)))</f>
        <v/>
      </c>
      <c r="R39" s="9" t="n">
        <f aca="false">IF(P39="",0,P39*D39)</f>
        <v>0</v>
      </c>
      <c r="S39" s="8" t="s">
        <v>301</v>
      </c>
    </row>
    <row r="40" customFormat="false" ht="15" hidden="false" customHeight="false" outlineLevel="0" collapsed="false">
      <c r="A40" s="6" t="s">
        <v>78</v>
      </c>
      <c r="B40" s="7" t="str">
        <f aca="false">IFERROR(INDEX(Киты!$C:$C,MATCH(A40,Киты!$A:$A,0)),"")</f>
        <v>Haval F7 / F7x 1.5T</v>
      </c>
      <c r="C40" s="7" t="s">
        <v>305</v>
      </c>
      <c r="D40" s="14" t="n">
        <v>0</v>
      </c>
      <c r="E40" s="14"/>
      <c r="F40" s="14"/>
      <c r="G40" s="12"/>
      <c r="H40" s="12"/>
      <c r="I40" s="12"/>
      <c r="J40" s="12"/>
      <c r="K40" s="12"/>
      <c r="L40" s="12"/>
      <c r="M40" s="12"/>
      <c r="N40" s="12"/>
      <c r="O40" s="12"/>
      <c r="P40" s="9" t="str">
        <f aca="false">IF(COUNT(G40:O40)=0,"",MIN(G40:O40))</f>
        <v/>
      </c>
      <c r="Q40" s="7" t="str">
        <f aca="false">IF(P40="","",INDEX($G$1:$O$1,MATCH(P40,G40:O40,0)))</f>
        <v/>
      </c>
      <c r="R40" s="9" t="n">
        <f aca="false">IF(P40="",0,P40*D40)</f>
        <v>0</v>
      </c>
      <c r="S40" s="8" t="s">
        <v>306</v>
      </c>
    </row>
    <row r="41" customFormat="false" ht="15" hidden="false" customHeight="false" outlineLevel="0" collapsed="false">
      <c r="A41" s="6" t="s">
        <v>78</v>
      </c>
      <c r="B41" s="7" t="str">
        <f aca="false">IFERROR(INDEX(Киты!$C:$C,MATCH(A41,Киты!$A:$A,0)),"")</f>
        <v>Haval F7 / F7x 1.5T</v>
      </c>
      <c r="C41" s="7" t="s">
        <v>296</v>
      </c>
      <c r="D41" s="14" t="n">
        <v>1</v>
      </c>
      <c r="E41" s="14"/>
      <c r="F41" s="14"/>
      <c r="G41" s="12"/>
      <c r="H41" s="12"/>
      <c r="I41" s="12"/>
      <c r="J41" s="12"/>
      <c r="K41" s="12"/>
      <c r="L41" s="12"/>
      <c r="M41" s="12"/>
      <c r="N41" s="12"/>
      <c r="O41" s="12"/>
      <c r="P41" s="9" t="str">
        <f aca="false">IF(COUNT(G41:O41)=0,"",MIN(G41:O41))</f>
        <v/>
      </c>
      <c r="Q41" s="7" t="str">
        <f aca="false">IF(P41="","",INDEX($G$1:$O$1,MATCH(P41,G41:O41,0)))</f>
        <v/>
      </c>
      <c r="R41" s="9" t="n">
        <f aca="false">IF(P41="",0,P41*D41)</f>
        <v>0</v>
      </c>
      <c r="S41" s="8"/>
    </row>
    <row r="42" customFormat="false" ht="15" hidden="false" customHeight="false" outlineLevel="0" collapsed="false">
      <c r="A42" s="6" t="s">
        <v>78</v>
      </c>
      <c r="B42" s="7" t="str">
        <f aca="false">IFERROR(INDEX(Киты!$C:$C,MATCH(A42,Киты!$A:$A,0)),"")</f>
        <v>Haval F7 / F7x 1.5T</v>
      </c>
      <c r="C42" s="7" t="s">
        <v>302</v>
      </c>
      <c r="D42" s="14" t="n">
        <v>1</v>
      </c>
      <c r="E42" s="14"/>
      <c r="F42" s="14"/>
      <c r="G42" s="12"/>
      <c r="H42" s="12"/>
      <c r="I42" s="12"/>
      <c r="J42" s="12"/>
      <c r="K42" s="12"/>
      <c r="L42" s="12"/>
      <c r="M42" s="12"/>
      <c r="N42" s="12"/>
      <c r="O42" s="12"/>
      <c r="P42" s="9" t="str">
        <f aca="false">IF(COUNT(G42:O42)=0,"",MIN(G42:O42))</f>
        <v/>
      </c>
      <c r="Q42" s="7" t="str">
        <f aca="false">IF(P42="","",INDEX($G$1:$O$1,MATCH(P42,G42:O42,0)))</f>
        <v/>
      </c>
      <c r="R42" s="9" t="n">
        <f aca="false">IF(P42="",0,P42*D42)</f>
        <v>0</v>
      </c>
      <c r="S42" s="8"/>
    </row>
    <row r="43" customFormat="false" ht="15" hidden="false" customHeight="false" outlineLevel="0" collapsed="false">
      <c r="A43" s="6" t="s">
        <v>78</v>
      </c>
      <c r="B43" s="7" t="str">
        <f aca="false">IFERROR(INDEX(Киты!$C:$C,MATCH(A43,Киты!$A:$A,0)),"")</f>
        <v>Haval F7 / F7x 1.5T</v>
      </c>
      <c r="C43" s="7" t="s">
        <v>303</v>
      </c>
      <c r="D43" s="14" t="n">
        <v>1</v>
      </c>
      <c r="E43" s="14"/>
      <c r="F43" s="14"/>
      <c r="G43" s="12"/>
      <c r="H43" s="12"/>
      <c r="I43" s="12"/>
      <c r="J43" s="12"/>
      <c r="K43" s="12"/>
      <c r="L43" s="12"/>
      <c r="M43" s="12"/>
      <c r="N43" s="12"/>
      <c r="O43" s="12"/>
      <c r="P43" s="9" t="str">
        <f aca="false">IF(COUNT(G43:O43)=0,"",MIN(G43:O43))</f>
        <v/>
      </c>
      <c r="Q43" s="7" t="str">
        <f aca="false">IF(P43="","",INDEX($G$1:$O$1,MATCH(P43,G43:O43,0)))</f>
        <v/>
      </c>
      <c r="R43" s="9" t="n">
        <f aca="false">IF(P43="",0,P43*D43)</f>
        <v>0</v>
      </c>
      <c r="S43" s="8"/>
    </row>
    <row r="44" customFormat="false" ht="15" hidden="false" customHeight="false" outlineLevel="0" collapsed="false">
      <c r="A44" s="6" t="s">
        <v>78</v>
      </c>
      <c r="B44" s="7" t="str">
        <f aca="false">IFERROR(INDEX(Киты!$C:$C,MATCH(A44,Киты!$A:$A,0)),"")</f>
        <v>Haval F7 / F7x 1.5T</v>
      </c>
      <c r="C44" s="7" t="s">
        <v>304</v>
      </c>
      <c r="D44" s="14" t="n">
        <v>1</v>
      </c>
      <c r="E44" s="14"/>
      <c r="F44" s="14"/>
      <c r="G44" s="12"/>
      <c r="H44" s="12"/>
      <c r="I44" s="12"/>
      <c r="J44" s="12"/>
      <c r="K44" s="12"/>
      <c r="L44" s="12"/>
      <c r="M44" s="12"/>
      <c r="N44" s="12"/>
      <c r="O44" s="12"/>
      <c r="P44" s="9" t="str">
        <f aca="false">IF(COUNT(G44:O44)=0,"",MIN(G44:O44))</f>
        <v/>
      </c>
      <c r="Q44" s="7" t="str">
        <f aca="false">IF(P44="","",INDEX($G$1:$O$1,MATCH(P44,G44:O44,0)))</f>
        <v/>
      </c>
      <c r="R44" s="9" t="n">
        <f aca="false">IF(P44="",0,P44*D44)</f>
        <v>0</v>
      </c>
      <c r="S44" s="8"/>
    </row>
    <row r="45" customFormat="false" ht="15" hidden="false" customHeight="false" outlineLevel="0" collapsed="false">
      <c r="A45" s="6" t="s">
        <v>83</v>
      </c>
      <c r="B45" s="7" t="str">
        <f aca="false">IFERROR(INDEX(Киты!$C:$C,MATCH(A45,Киты!$A:$A,0)),"")</f>
        <v>Haval F7 / F7x 2.0T</v>
      </c>
      <c r="C45" s="7" t="s">
        <v>300</v>
      </c>
      <c r="D45" s="14" t="n">
        <v>1</v>
      </c>
      <c r="E45" s="14"/>
      <c r="F45" s="14"/>
      <c r="G45" s="12"/>
      <c r="H45" s="12"/>
      <c r="I45" s="12"/>
      <c r="J45" s="12"/>
      <c r="K45" s="12"/>
      <c r="L45" s="12"/>
      <c r="M45" s="12"/>
      <c r="N45" s="12"/>
      <c r="O45" s="12"/>
      <c r="P45" s="9" t="str">
        <f aca="false">IF(COUNT(G45:O45)=0,"",MIN(G45:O45))</f>
        <v/>
      </c>
      <c r="Q45" s="7" t="str">
        <f aca="false">IF(P45="","",INDEX($G$1:$O$1,MATCH(P45,G45:O45,0)))</f>
        <v/>
      </c>
      <c r="R45" s="9" t="n">
        <f aca="false">IF(P45="",0,P45*D45)</f>
        <v>0</v>
      </c>
      <c r="S45" s="8" t="s">
        <v>301</v>
      </c>
    </row>
    <row r="46" customFormat="false" ht="15" hidden="false" customHeight="false" outlineLevel="0" collapsed="false">
      <c r="A46" s="6" t="s">
        <v>83</v>
      </c>
      <c r="B46" s="7" t="str">
        <f aca="false">IFERROR(INDEX(Киты!$C:$C,MATCH(A46,Киты!$A:$A,0)),"")</f>
        <v>Haval F7 / F7x 2.0T</v>
      </c>
      <c r="C46" s="7" t="s">
        <v>305</v>
      </c>
      <c r="D46" s="14" t="n">
        <v>0</v>
      </c>
      <c r="E46" s="14"/>
      <c r="F46" s="14"/>
      <c r="G46" s="12"/>
      <c r="H46" s="12"/>
      <c r="I46" s="12"/>
      <c r="J46" s="12"/>
      <c r="K46" s="12"/>
      <c r="L46" s="12"/>
      <c r="M46" s="12"/>
      <c r="N46" s="12"/>
      <c r="O46" s="12"/>
      <c r="P46" s="9" t="str">
        <f aca="false">IF(COUNT(G46:O46)=0,"",MIN(G46:O46))</f>
        <v/>
      </c>
      <c r="Q46" s="7" t="str">
        <f aca="false">IF(P46="","",INDEX($G$1:$O$1,MATCH(P46,G46:O46,0)))</f>
        <v/>
      </c>
      <c r="R46" s="9" t="n">
        <f aca="false">IF(P46="",0,P46*D46)</f>
        <v>0</v>
      </c>
      <c r="S46" s="8" t="s">
        <v>306</v>
      </c>
    </row>
    <row r="47" customFormat="false" ht="15" hidden="false" customHeight="false" outlineLevel="0" collapsed="false">
      <c r="A47" s="6" t="s">
        <v>83</v>
      </c>
      <c r="B47" s="7" t="str">
        <f aca="false">IFERROR(INDEX(Киты!$C:$C,MATCH(A47,Киты!$A:$A,0)),"")</f>
        <v>Haval F7 / F7x 2.0T</v>
      </c>
      <c r="C47" s="7" t="s">
        <v>296</v>
      </c>
      <c r="D47" s="14" t="n">
        <v>1</v>
      </c>
      <c r="E47" s="14"/>
      <c r="F47" s="14"/>
      <c r="G47" s="12"/>
      <c r="H47" s="12"/>
      <c r="I47" s="12"/>
      <c r="J47" s="12"/>
      <c r="K47" s="12"/>
      <c r="L47" s="12"/>
      <c r="M47" s="12"/>
      <c r="N47" s="12"/>
      <c r="O47" s="12"/>
      <c r="P47" s="9" t="str">
        <f aca="false">IF(COUNT(G47:O47)=0,"",MIN(G47:O47))</f>
        <v/>
      </c>
      <c r="Q47" s="7" t="str">
        <f aca="false">IF(P47="","",INDEX($G$1:$O$1,MATCH(P47,G47:O47,0)))</f>
        <v/>
      </c>
      <c r="R47" s="9" t="n">
        <f aca="false">IF(P47="",0,P47*D47)</f>
        <v>0</v>
      </c>
      <c r="S47" s="8"/>
    </row>
    <row r="48" customFormat="false" ht="15" hidden="false" customHeight="false" outlineLevel="0" collapsed="false">
      <c r="A48" s="6" t="s">
        <v>83</v>
      </c>
      <c r="B48" s="7" t="str">
        <f aca="false">IFERROR(INDEX(Киты!$C:$C,MATCH(A48,Киты!$A:$A,0)),"")</f>
        <v>Haval F7 / F7x 2.0T</v>
      </c>
      <c r="C48" s="7" t="s">
        <v>302</v>
      </c>
      <c r="D48" s="14" t="n">
        <v>1</v>
      </c>
      <c r="E48" s="14"/>
      <c r="F48" s="14"/>
      <c r="G48" s="12"/>
      <c r="H48" s="12"/>
      <c r="I48" s="12"/>
      <c r="J48" s="12"/>
      <c r="K48" s="12"/>
      <c r="L48" s="12"/>
      <c r="M48" s="12"/>
      <c r="N48" s="12"/>
      <c r="O48" s="12"/>
      <c r="P48" s="9" t="str">
        <f aca="false">IF(COUNT(G48:O48)=0,"",MIN(G48:O48))</f>
        <v/>
      </c>
      <c r="Q48" s="7" t="str">
        <f aca="false">IF(P48="","",INDEX($G$1:$O$1,MATCH(P48,G48:O48,0)))</f>
        <v/>
      </c>
      <c r="R48" s="9" t="n">
        <f aca="false">IF(P48="",0,P48*D48)</f>
        <v>0</v>
      </c>
      <c r="S48" s="8"/>
    </row>
    <row r="49" customFormat="false" ht="15" hidden="false" customHeight="false" outlineLevel="0" collapsed="false">
      <c r="A49" s="6" t="s">
        <v>83</v>
      </c>
      <c r="B49" s="7" t="str">
        <f aca="false">IFERROR(INDEX(Киты!$C:$C,MATCH(A49,Киты!$A:$A,0)),"")</f>
        <v>Haval F7 / F7x 2.0T</v>
      </c>
      <c r="C49" s="7" t="s">
        <v>303</v>
      </c>
      <c r="D49" s="14" t="n">
        <v>1</v>
      </c>
      <c r="E49" s="14"/>
      <c r="F49" s="14"/>
      <c r="G49" s="12"/>
      <c r="H49" s="12"/>
      <c r="I49" s="12"/>
      <c r="J49" s="12"/>
      <c r="K49" s="12"/>
      <c r="L49" s="12"/>
      <c r="M49" s="12"/>
      <c r="N49" s="12"/>
      <c r="O49" s="12"/>
      <c r="P49" s="9" t="str">
        <f aca="false">IF(COUNT(G49:O49)=0,"",MIN(G49:O49))</f>
        <v/>
      </c>
      <c r="Q49" s="7" t="str">
        <f aca="false">IF(P49="","",INDEX($G$1:$O$1,MATCH(P49,G49:O49,0)))</f>
        <v/>
      </c>
      <c r="R49" s="9" t="n">
        <f aca="false">IF(P49="",0,P49*D49)</f>
        <v>0</v>
      </c>
      <c r="S49" s="8"/>
    </row>
    <row r="50" customFormat="false" ht="15" hidden="false" customHeight="false" outlineLevel="0" collapsed="false">
      <c r="A50" s="6" t="s">
        <v>83</v>
      </c>
      <c r="B50" s="7" t="str">
        <f aca="false">IFERROR(INDEX(Киты!$C:$C,MATCH(A50,Киты!$A:$A,0)),"")</f>
        <v>Haval F7 / F7x 2.0T</v>
      </c>
      <c r="C50" s="7" t="s">
        <v>304</v>
      </c>
      <c r="D50" s="14" t="n">
        <v>1</v>
      </c>
      <c r="E50" s="14"/>
      <c r="F50" s="14"/>
      <c r="G50" s="12"/>
      <c r="H50" s="12"/>
      <c r="I50" s="12"/>
      <c r="J50" s="12"/>
      <c r="K50" s="12"/>
      <c r="L50" s="12"/>
      <c r="M50" s="12"/>
      <c r="N50" s="12"/>
      <c r="O50" s="12"/>
      <c r="P50" s="9" t="str">
        <f aca="false">IF(COUNT(G50:O50)=0,"",MIN(G50:O50))</f>
        <v/>
      </c>
      <c r="Q50" s="7" t="str">
        <f aca="false">IF(P50="","",INDEX($G$1:$O$1,MATCH(P50,G50:O50,0)))</f>
        <v/>
      </c>
      <c r="R50" s="9" t="n">
        <f aca="false">IF(P50="",0,P50*D50)</f>
        <v>0</v>
      </c>
      <c r="S50" s="8"/>
    </row>
    <row r="51" customFormat="false" ht="15" hidden="false" customHeight="false" outlineLevel="0" collapsed="false">
      <c r="A51" s="6" t="s">
        <v>88</v>
      </c>
      <c r="B51" s="7" t="str">
        <f aca="false">IFERROR(INDEX(Киты!$C:$C,MATCH(A51,Киты!$A:$A,0)),"")</f>
        <v>Chery Tiggo 7 Pro 1.5T</v>
      </c>
      <c r="C51" s="7" t="s">
        <v>300</v>
      </c>
      <c r="D51" s="14" t="n">
        <v>1</v>
      </c>
      <c r="E51" s="14"/>
      <c r="F51" s="14"/>
      <c r="G51" s="12"/>
      <c r="H51" s="12"/>
      <c r="I51" s="12"/>
      <c r="J51" s="12"/>
      <c r="K51" s="12"/>
      <c r="L51" s="12"/>
      <c r="M51" s="12"/>
      <c r="N51" s="12"/>
      <c r="O51" s="12"/>
      <c r="P51" s="9" t="str">
        <f aca="false">IF(COUNT(G51:O51)=0,"",MIN(G51:O51))</f>
        <v/>
      </c>
      <c r="Q51" s="7" t="str">
        <f aca="false">IF(P51="","",INDEX($G$1:$O$1,MATCH(P51,G51:O51,0)))</f>
        <v/>
      </c>
      <c r="R51" s="9" t="n">
        <f aca="false">IF(P51="",0,P51*D51)</f>
        <v>0</v>
      </c>
      <c r="S51" s="8" t="s">
        <v>301</v>
      </c>
    </row>
    <row r="52" customFormat="false" ht="15" hidden="false" customHeight="false" outlineLevel="0" collapsed="false">
      <c r="A52" s="6" t="s">
        <v>88</v>
      </c>
      <c r="B52" s="7" t="str">
        <f aca="false">IFERROR(INDEX(Киты!$C:$C,MATCH(A52,Киты!$A:$A,0)),"")</f>
        <v>Chery Tiggo 7 Pro 1.5T</v>
      </c>
      <c r="C52" s="7" t="s">
        <v>305</v>
      </c>
      <c r="D52" s="14" t="n">
        <v>0</v>
      </c>
      <c r="E52" s="14"/>
      <c r="F52" s="14"/>
      <c r="G52" s="12"/>
      <c r="H52" s="12"/>
      <c r="I52" s="12"/>
      <c r="J52" s="12"/>
      <c r="K52" s="12"/>
      <c r="L52" s="12"/>
      <c r="M52" s="12"/>
      <c r="N52" s="12"/>
      <c r="O52" s="12"/>
      <c r="P52" s="9" t="str">
        <f aca="false">IF(COUNT(G52:O52)=0,"",MIN(G52:O52))</f>
        <v/>
      </c>
      <c r="Q52" s="7" t="str">
        <f aca="false">IF(P52="","",INDEX($G$1:$O$1,MATCH(P52,G52:O52,0)))</f>
        <v/>
      </c>
      <c r="R52" s="9" t="n">
        <f aca="false">IF(P52="",0,P52*D52)</f>
        <v>0</v>
      </c>
      <c r="S52" s="8" t="s">
        <v>306</v>
      </c>
    </row>
    <row r="53" customFormat="false" ht="15" hidden="false" customHeight="false" outlineLevel="0" collapsed="false">
      <c r="A53" s="6" t="s">
        <v>88</v>
      </c>
      <c r="B53" s="7" t="str">
        <f aca="false">IFERROR(INDEX(Киты!$C:$C,MATCH(A53,Киты!$A:$A,0)),"")</f>
        <v>Chery Tiggo 7 Pro 1.5T</v>
      </c>
      <c r="C53" s="7" t="s">
        <v>296</v>
      </c>
      <c r="D53" s="14" t="n">
        <v>1</v>
      </c>
      <c r="E53" s="14"/>
      <c r="F53" s="14"/>
      <c r="G53" s="12"/>
      <c r="H53" s="12"/>
      <c r="I53" s="12"/>
      <c r="J53" s="12"/>
      <c r="K53" s="12"/>
      <c r="L53" s="12"/>
      <c r="M53" s="12"/>
      <c r="N53" s="12"/>
      <c r="O53" s="12"/>
      <c r="P53" s="9" t="str">
        <f aca="false">IF(COUNT(G53:O53)=0,"",MIN(G53:O53))</f>
        <v/>
      </c>
      <c r="Q53" s="7" t="str">
        <f aca="false">IF(P53="","",INDEX($G$1:$O$1,MATCH(P53,G53:O53,0)))</f>
        <v/>
      </c>
      <c r="R53" s="9" t="n">
        <f aca="false">IF(P53="",0,P53*D53)</f>
        <v>0</v>
      </c>
      <c r="S53" s="8"/>
    </row>
    <row r="54" customFormat="false" ht="15" hidden="false" customHeight="false" outlineLevel="0" collapsed="false">
      <c r="A54" s="6" t="s">
        <v>88</v>
      </c>
      <c r="B54" s="7" t="str">
        <f aca="false">IFERROR(INDEX(Киты!$C:$C,MATCH(A54,Киты!$A:$A,0)),"")</f>
        <v>Chery Tiggo 7 Pro 1.5T</v>
      </c>
      <c r="C54" s="7" t="s">
        <v>302</v>
      </c>
      <c r="D54" s="14" t="n">
        <v>1</v>
      </c>
      <c r="E54" s="14"/>
      <c r="F54" s="14"/>
      <c r="G54" s="12"/>
      <c r="H54" s="12"/>
      <c r="I54" s="12"/>
      <c r="J54" s="12"/>
      <c r="K54" s="12"/>
      <c r="L54" s="12"/>
      <c r="M54" s="12"/>
      <c r="N54" s="12"/>
      <c r="O54" s="12"/>
      <c r="P54" s="9" t="str">
        <f aca="false">IF(COUNT(G54:O54)=0,"",MIN(G54:O54))</f>
        <v/>
      </c>
      <c r="Q54" s="7" t="str">
        <f aca="false">IF(P54="","",INDEX($G$1:$O$1,MATCH(P54,G54:O54,0)))</f>
        <v/>
      </c>
      <c r="R54" s="9" t="n">
        <f aca="false">IF(P54="",0,P54*D54)</f>
        <v>0</v>
      </c>
      <c r="S54" s="8"/>
    </row>
    <row r="55" customFormat="false" ht="15" hidden="false" customHeight="false" outlineLevel="0" collapsed="false">
      <c r="A55" s="6" t="s">
        <v>88</v>
      </c>
      <c r="B55" s="7" t="str">
        <f aca="false">IFERROR(INDEX(Киты!$C:$C,MATCH(A55,Киты!$A:$A,0)),"")</f>
        <v>Chery Tiggo 7 Pro 1.5T</v>
      </c>
      <c r="C55" s="7" t="s">
        <v>303</v>
      </c>
      <c r="D55" s="14" t="n">
        <v>1</v>
      </c>
      <c r="E55" s="14"/>
      <c r="F55" s="14"/>
      <c r="G55" s="12"/>
      <c r="H55" s="12"/>
      <c r="I55" s="12"/>
      <c r="J55" s="12"/>
      <c r="K55" s="12"/>
      <c r="L55" s="12"/>
      <c r="M55" s="12"/>
      <c r="N55" s="12"/>
      <c r="O55" s="12"/>
      <c r="P55" s="9" t="str">
        <f aca="false">IF(COUNT(G55:O55)=0,"",MIN(G55:O55))</f>
        <v/>
      </c>
      <c r="Q55" s="7" t="str">
        <f aca="false">IF(P55="","",INDEX($G$1:$O$1,MATCH(P55,G55:O55,0)))</f>
        <v/>
      </c>
      <c r="R55" s="9" t="n">
        <f aca="false">IF(P55="",0,P55*D55)</f>
        <v>0</v>
      </c>
      <c r="S55" s="8"/>
    </row>
    <row r="56" customFormat="false" ht="15" hidden="false" customHeight="false" outlineLevel="0" collapsed="false">
      <c r="A56" s="6" t="s">
        <v>88</v>
      </c>
      <c r="B56" s="7" t="str">
        <f aca="false">IFERROR(INDEX(Киты!$C:$C,MATCH(A56,Киты!$A:$A,0)),"")</f>
        <v>Chery Tiggo 7 Pro 1.5T</v>
      </c>
      <c r="C56" s="7" t="s">
        <v>304</v>
      </c>
      <c r="D56" s="14" t="n">
        <v>1</v>
      </c>
      <c r="E56" s="14"/>
      <c r="F56" s="14"/>
      <c r="G56" s="12"/>
      <c r="H56" s="12"/>
      <c r="I56" s="12"/>
      <c r="J56" s="12"/>
      <c r="K56" s="12"/>
      <c r="L56" s="12"/>
      <c r="M56" s="12"/>
      <c r="N56" s="12"/>
      <c r="O56" s="12"/>
      <c r="P56" s="9" t="str">
        <f aca="false">IF(COUNT(G56:O56)=0,"",MIN(G56:O56))</f>
        <v/>
      </c>
      <c r="Q56" s="7" t="str">
        <f aca="false">IF(P56="","",INDEX($G$1:$O$1,MATCH(P56,G56:O56,0)))</f>
        <v/>
      </c>
      <c r="R56" s="9" t="n">
        <f aca="false">IF(P56="",0,P56*D56)</f>
        <v>0</v>
      </c>
      <c r="S56" s="8"/>
    </row>
    <row r="57" customFormat="false" ht="15" hidden="false" customHeight="false" outlineLevel="0" collapsed="false">
      <c r="A57" s="6" t="s">
        <v>93</v>
      </c>
      <c r="B57" s="7" t="str">
        <f aca="false">IFERROR(INDEX(Киты!$C:$C,MATCH(A57,Киты!$A:$A,0)),"")</f>
        <v>Chery Tiggo 4 Pro 1.5T</v>
      </c>
      <c r="C57" s="7" t="s">
        <v>300</v>
      </c>
      <c r="D57" s="14" t="n">
        <v>1</v>
      </c>
      <c r="E57" s="14"/>
      <c r="F57" s="14"/>
      <c r="G57" s="12"/>
      <c r="H57" s="12"/>
      <c r="I57" s="12"/>
      <c r="J57" s="12"/>
      <c r="K57" s="12"/>
      <c r="L57" s="12"/>
      <c r="M57" s="12"/>
      <c r="N57" s="12"/>
      <c r="O57" s="12"/>
      <c r="P57" s="9" t="str">
        <f aca="false">IF(COUNT(G57:O57)=0,"",MIN(G57:O57))</f>
        <v/>
      </c>
      <c r="Q57" s="7" t="str">
        <f aca="false">IF(P57="","",INDEX($G$1:$O$1,MATCH(P57,G57:O57,0)))</f>
        <v/>
      </c>
      <c r="R57" s="9" t="n">
        <f aca="false">IF(P57="",0,P57*D57)</f>
        <v>0</v>
      </c>
      <c r="S57" s="8" t="s">
        <v>301</v>
      </c>
    </row>
    <row r="58" customFormat="false" ht="15" hidden="false" customHeight="false" outlineLevel="0" collapsed="false">
      <c r="A58" s="6" t="s">
        <v>93</v>
      </c>
      <c r="B58" s="7" t="str">
        <f aca="false">IFERROR(INDEX(Киты!$C:$C,MATCH(A58,Киты!$A:$A,0)),"")</f>
        <v>Chery Tiggo 4 Pro 1.5T</v>
      </c>
      <c r="C58" s="7" t="s">
        <v>305</v>
      </c>
      <c r="D58" s="14" t="n">
        <v>0</v>
      </c>
      <c r="E58" s="14"/>
      <c r="F58" s="14"/>
      <c r="G58" s="12"/>
      <c r="H58" s="12"/>
      <c r="I58" s="12"/>
      <c r="J58" s="12"/>
      <c r="K58" s="12"/>
      <c r="L58" s="12"/>
      <c r="M58" s="12"/>
      <c r="N58" s="12"/>
      <c r="O58" s="12"/>
      <c r="P58" s="9" t="str">
        <f aca="false">IF(COUNT(G58:O58)=0,"",MIN(G58:O58))</f>
        <v/>
      </c>
      <c r="Q58" s="7" t="str">
        <f aca="false">IF(P58="","",INDEX($G$1:$O$1,MATCH(P58,G58:O58,0)))</f>
        <v/>
      </c>
      <c r="R58" s="9" t="n">
        <f aca="false">IF(P58="",0,P58*D58)</f>
        <v>0</v>
      </c>
      <c r="S58" s="8" t="s">
        <v>306</v>
      </c>
    </row>
    <row r="59" customFormat="false" ht="15" hidden="false" customHeight="false" outlineLevel="0" collapsed="false">
      <c r="A59" s="6" t="s">
        <v>93</v>
      </c>
      <c r="B59" s="7" t="str">
        <f aca="false">IFERROR(INDEX(Киты!$C:$C,MATCH(A59,Киты!$A:$A,0)),"")</f>
        <v>Chery Tiggo 4 Pro 1.5T</v>
      </c>
      <c r="C59" s="7" t="s">
        <v>296</v>
      </c>
      <c r="D59" s="14" t="n">
        <v>1</v>
      </c>
      <c r="E59" s="14"/>
      <c r="F59" s="14"/>
      <c r="G59" s="12"/>
      <c r="H59" s="12"/>
      <c r="I59" s="12"/>
      <c r="J59" s="12"/>
      <c r="K59" s="12"/>
      <c r="L59" s="12"/>
      <c r="M59" s="12"/>
      <c r="N59" s="12"/>
      <c r="O59" s="12"/>
      <c r="P59" s="9" t="str">
        <f aca="false">IF(COUNT(G59:O59)=0,"",MIN(G59:O59))</f>
        <v/>
      </c>
      <c r="Q59" s="7" t="str">
        <f aca="false">IF(P59="","",INDEX($G$1:$O$1,MATCH(P59,G59:O59,0)))</f>
        <v/>
      </c>
      <c r="R59" s="9" t="n">
        <f aca="false">IF(P59="",0,P59*D59)</f>
        <v>0</v>
      </c>
      <c r="S59" s="8"/>
    </row>
    <row r="60" customFormat="false" ht="15" hidden="false" customHeight="false" outlineLevel="0" collapsed="false">
      <c r="A60" s="6" t="s">
        <v>93</v>
      </c>
      <c r="B60" s="7" t="str">
        <f aca="false">IFERROR(INDEX(Киты!$C:$C,MATCH(A60,Киты!$A:$A,0)),"")</f>
        <v>Chery Tiggo 4 Pro 1.5T</v>
      </c>
      <c r="C60" s="7" t="s">
        <v>302</v>
      </c>
      <c r="D60" s="14" t="n">
        <v>1</v>
      </c>
      <c r="E60" s="14"/>
      <c r="F60" s="14"/>
      <c r="G60" s="12"/>
      <c r="H60" s="12"/>
      <c r="I60" s="12"/>
      <c r="J60" s="12"/>
      <c r="K60" s="12"/>
      <c r="L60" s="12"/>
      <c r="M60" s="12"/>
      <c r="N60" s="12"/>
      <c r="O60" s="12"/>
      <c r="P60" s="9" t="str">
        <f aca="false">IF(COUNT(G60:O60)=0,"",MIN(G60:O60))</f>
        <v/>
      </c>
      <c r="Q60" s="7" t="str">
        <f aca="false">IF(P60="","",INDEX($G$1:$O$1,MATCH(P60,G60:O60,0)))</f>
        <v/>
      </c>
      <c r="R60" s="9" t="n">
        <f aca="false">IF(P60="",0,P60*D60)</f>
        <v>0</v>
      </c>
      <c r="S60" s="8"/>
    </row>
    <row r="61" customFormat="false" ht="15" hidden="false" customHeight="false" outlineLevel="0" collapsed="false">
      <c r="A61" s="6" t="s">
        <v>93</v>
      </c>
      <c r="B61" s="7" t="str">
        <f aca="false">IFERROR(INDEX(Киты!$C:$C,MATCH(A61,Киты!$A:$A,0)),"")</f>
        <v>Chery Tiggo 4 Pro 1.5T</v>
      </c>
      <c r="C61" s="7" t="s">
        <v>303</v>
      </c>
      <c r="D61" s="14" t="n">
        <v>1</v>
      </c>
      <c r="E61" s="14"/>
      <c r="F61" s="14"/>
      <c r="G61" s="12"/>
      <c r="H61" s="12"/>
      <c r="I61" s="12"/>
      <c r="J61" s="12"/>
      <c r="K61" s="12"/>
      <c r="L61" s="12"/>
      <c r="M61" s="12"/>
      <c r="N61" s="12"/>
      <c r="O61" s="12"/>
      <c r="P61" s="9" t="str">
        <f aca="false">IF(COUNT(G61:O61)=0,"",MIN(G61:O61))</f>
        <v/>
      </c>
      <c r="Q61" s="7" t="str">
        <f aca="false">IF(P61="","",INDEX($G$1:$O$1,MATCH(P61,G61:O61,0)))</f>
        <v/>
      </c>
      <c r="R61" s="9" t="n">
        <f aca="false">IF(P61="",0,P61*D61)</f>
        <v>0</v>
      </c>
      <c r="S61" s="8"/>
    </row>
    <row r="62" customFormat="false" ht="15" hidden="false" customHeight="false" outlineLevel="0" collapsed="false">
      <c r="A62" s="6" t="s">
        <v>93</v>
      </c>
      <c r="B62" s="7" t="str">
        <f aca="false">IFERROR(INDEX(Киты!$C:$C,MATCH(A62,Киты!$A:$A,0)),"")</f>
        <v>Chery Tiggo 4 Pro 1.5T</v>
      </c>
      <c r="C62" s="7" t="s">
        <v>304</v>
      </c>
      <c r="D62" s="14" t="n">
        <v>1</v>
      </c>
      <c r="E62" s="14"/>
      <c r="F62" s="14"/>
      <c r="G62" s="12"/>
      <c r="H62" s="12"/>
      <c r="I62" s="12"/>
      <c r="J62" s="12"/>
      <c r="K62" s="12"/>
      <c r="L62" s="12"/>
      <c r="M62" s="12"/>
      <c r="N62" s="12"/>
      <c r="O62" s="12"/>
      <c r="P62" s="9" t="str">
        <f aca="false">IF(COUNT(G62:O62)=0,"",MIN(G62:O62))</f>
        <v/>
      </c>
      <c r="Q62" s="7" t="str">
        <f aca="false">IF(P62="","",INDEX($G$1:$O$1,MATCH(P62,G62:O62,0)))</f>
        <v/>
      </c>
      <c r="R62" s="9" t="n">
        <f aca="false">IF(P62="",0,P62*D62)</f>
        <v>0</v>
      </c>
      <c r="S62" s="8"/>
    </row>
    <row r="63" customFormat="false" ht="15" hidden="false" customHeight="false" outlineLevel="0" collapsed="false">
      <c r="A63" s="6" t="s">
        <v>97</v>
      </c>
      <c r="B63" s="7" t="str">
        <f aca="false">IFERROR(INDEX(Киты!$C:$C,MATCH(A63,Киты!$A:$A,0)),"")</f>
        <v>Geely Coolray 1.5T</v>
      </c>
      <c r="C63" s="7" t="s">
        <v>300</v>
      </c>
      <c r="D63" s="14" t="n">
        <v>1</v>
      </c>
      <c r="E63" s="14"/>
      <c r="F63" s="14"/>
      <c r="G63" s="12"/>
      <c r="H63" s="12"/>
      <c r="I63" s="12"/>
      <c r="J63" s="12"/>
      <c r="K63" s="12"/>
      <c r="L63" s="12"/>
      <c r="M63" s="12"/>
      <c r="N63" s="12"/>
      <c r="O63" s="12"/>
      <c r="P63" s="9" t="str">
        <f aca="false">IF(COUNT(G63:O63)=0,"",MIN(G63:O63))</f>
        <v/>
      </c>
      <c r="Q63" s="7" t="str">
        <f aca="false">IF(P63="","",INDEX($G$1:$O$1,MATCH(P63,G63:O63,0)))</f>
        <v/>
      </c>
      <c r="R63" s="9" t="n">
        <f aca="false">IF(P63="",0,P63*D63)</f>
        <v>0</v>
      </c>
      <c r="S63" s="8" t="s">
        <v>301</v>
      </c>
    </row>
    <row r="64" customFormat="false" ht="15" hidden="false" customHeight="false" outlineLevel="0" collapsed="false">
      <c r="A64" s="6" t="s">
        <v>97</v>
      </c>
      <c r="B64" s="7" t="str">
        <f aca="false">IFERROR(INDEX(Киты!$C:$C,MATCH(A64,Киты!$A:$A,0)),"")</f>
        <v>Geely Coolray 1.5T</v>
      </c>
      <c r="C64" s="7" t="s">
        <v>305</v>
      </c>
      <c r="D64" s="14" t="n">
        <v>0</v>
      </c>
      <c r="E64" s="14"/>
      <c r="F64" s="14"/>
      <c r="G64" s="12"/>
      <c r="H64" s="12"/>
      <c r="I64" s="12"/>
      <c r="J64" s="12"/>
      <c r="K64" s="12"/>
      <c r="L64" s="12"/>
      <c r="M64" s="12"/>
      <c r="N64" s="12"/>
      <c r="O64" s="12"/>
      <c r="P64" s="9" t="str">
        <f aca="false">IF(COUNT(G64:O64)=0,"",MIN(G64:O64))</f>
        <v/>
      </c>
      <c r="Q64" s="7" t="str">
        <f aca="false">IF(P64="","",INDEX($G$1:$O$1,MATCH(P64,G64:O64,0)))</f>
        <v/>
      </c>
      <c r="R64" s="9" t="n">
        <f aca="false">IF(P64="",0,P64*D64)</f>
        <v>0</v>
      </c>
      <c r="S64" s="8" t="s">
        <v>306</v>
      </c>
    </row>
    <row r="65" customFormat="false" ht="15" hidden="false" customHeight="false" outlineLevel="0" collapsed="false">
      <c r="A65" s="6" t="s">
        <v>97</v>
      </c>
      <c r="B65" s="7" t="str">
        <f aca="false">IFERROR(INDEX(Киты!$C:$C,MATCH(A65,Киты!$A:$A,0)),"")</f>
        <v>Geely Coolray 1.5T</v>
      </c>
      <c r="C65" s="7" t="s">
        <v>296</v>
      </c>
      <c r="D65" s="14" t="n">
        <v>1</v>
      </c>
      <c r="E65" s="14"/>
      <c r="F65" s="14"/>
      <c r="G65" s="12"/>
      <c r="H65" s="12"/>
      <c r="I65" s="12"/>
      <c r="J65" s="12"/>
      <c r="K65" s="12"/>
      <c r="L65" s="12"/>
      <c r="M65" s="12"/>
      <c r="N65" s="12"/>
      <c r="O65" s="12"/>
      <c r="P65" s="9" t="str">
        <f aca="false">IF(COUNT(G65:O65)=0,"",MIN(G65:O65))</f>
        <v/>
      </c>
      <c r="Q65" s="7" t="str">
        <f aca="false">IF(P65="","",INDEX($G$1:$O$1,MATCH(P65,G65:O65,0)))</f>
        <v/>
      </c>
      <c r="R65" s="9" t="n">
        <f aca="false">IF(P65="",0,P65*D65)</f>
        <v>0</v>
      </c>
      <c r="S65" s="8"/>
    </row>
    <row r="66" customFormat="false" ht="15" hidden="false" customHeight="false" outlineLevel="0" collapsed="false">
      <c r="A66" s="6" t="s">
        <v>97</v>
      </c>
      <c r="B66" s="7" t="str">
        <f aca="false">IFERROR(INDEX(Киты!$C:$C,MATCH(A66,Киты!$A:$A,0)),"")</f>
        <v>Geely Coolray 1.5T</v>
      </c>
      <c r="C66" s="7" t="s">
        <v>302</v>
      </c>
      <c r="D66" s="14" t="n">
        <v>1</v>
      </c>
      <c r="E66" s="14"/>
      <c r="F66" s="14"/>
      <c r="G66" s="12"/>
      <c r="H66" s="12"/>
      <c r="I66" s="12"/>
      <c r="J66" s="12"/>
      <c r="K66" s="12"/>
      <c r="L66" s="12"/>
      <c r="M66" s="12"/>
      <c r="N66" s="12"/>
      <c r="O66" s="12"/>
      <c r="P66" s="9" t="str">
        <f aca="false">IF(COUNT(G66:O66)=0,"",MIN(G66:O66))</f>
        <v/>
      </c>
      <c r="Q66" s="7" t="str">
        <f aca="false">IF(P66="","",INDEX($G$1:$O$1,MATCH(P66,G66:O66,0)))</f>
        <v/>
      </c>
      <c r="R66" s="9" t="n">
        <f aca="false">IF(P66="",0,P66*D66)</f>
        <v>0</v>
      </c>
      <c r="S66" s="8"/>
    </row>
    <row r="67" customFormat="false" ht="15" hidden="false" customHeight="false" outlineLevel="0" collapsed="false">
      <c r="A67" s="6" t="s">
        <v>97</v>
      </c>
      <c r="B67" s="7" t="str">
        <f aca="false">IFERROR(INDEX(Киты!$C:$C,MATCH(A67,Киты!$A:$A,0)),"")</f>
        <v>Geely Coolray 1.5T</v>
      </c>
      <c r="C67" s="7" t="s">
        <v>303</v>
      </c>
      <c r="D67" s="14" t="n">
        <v>1</v>
      </c>
      <c r="E67" s="14"/>
      <c r="F67" s="14"/>
      <c r="G67" s="12"/>
      <c r="H67" s="12"/>
      <c r="I67" s="12"/>
      <c r="J67" s="12"/>
      <c r="K67" s="12"/>
      <c r="L67" s="12"/>
      <c r="M67" s="12"/>
      <c r="N67" s="12"/>
      <c r="O67" s="12"/>
      <c r="P67" s="9" t="str">
        <f aca="false">IF(COUNT(G67:O67)=0,"",MIN(G67:O67))</f>
        <v/>
      </c>
      <c r="Q67" s="7" t="str">
        <f aca="false">IF(P67="","",INDEX($G$1:$O$1,MATCH(P67,G67:O67,0)))</f>
        <v/>
      </c>
      <c r="R67" s="9" t="n">
        <f aca="false">IF(P67="",0,P67*D67)</f>
        <v>0</v>
      </c>
      <c r="S67" s="8"/>
    </row>
    <row r="68" customFormat="false" ht="15" hidden="false" customHeight="false" outlineLevel="0" collapsed="false">
      <c r="A68" s="6" t="s">
        <v>97</v>
      </c>
      <c r="B68" s="7" t="str">
        <f aca="false">IFERROR(INDEX(Киты!$C:$C,MATCH(A68,Киты!$A:$A,0)),"")</f>
        <v>Geely Coolray 1.5T</v>
      </c>
      <c r="C68" s="7" t="s">
        <v>304</v>
      </c>
      <c r="D68" s="14" t="n">
        <v>1</v>
      </c>
      <c r="E68" s="14"/>
      <c r="F68" s="14"/>
      <c r="G68" s="12"/>
      <c r="H68" s="12"/>
      <c r="I68" s="12"/>
      <c r="J68" s="12"/>
      <c r="K68" s="12"/>
      <c r="L68" s="12"/>
      <c r="M68" s="12"/>
      <c r="N68" s="12"/>
      <c r="O68" s="12"/>
      <c r="P68" s="9" t="str">
        <f aca="false">IF(COUNT(G68:O68)=0,"",MIN(G68:O68))</f>
        <v/>
      </c>
      <c r="Q68" s="7" t="str">
        <f aca="false">IF(P68="","",INDEX($G$1:$O$1,MATCH(P68,G68:O68,0)))</f>
        <v/>
      </c>
      <c r="R68" s="9" t="n">
        <f aca="false">IF(P68="",0,P68*D68)</f>
        <v>0</v>
      </c>
      <c r="S68" s="8"/>
    </row>
    <row r="69" customFormat="false" ht="23.85" hidden="false" customHeight="false" outlineLevel="0" collapsed="false">
      <c r="A69" s="6" t="s">
        <v>103</v>
      </c>
      <c r="B69" s="7" t="str">
        <f aca="false">IFERROR(INDEX(Киты!$C:$C,MATCH(A69,Киты!$A:$A,0)),"")</f>
        <v>Kia Picanto 1.0 / 1.2</v>
      </c>
      <c r="C69" s="7" t="s">
        <v>300</v>
      </c>
      <c r="D69" s="14" t="n">
        <v>1</v>
      </c>
      <c r="E69" s="14" t="s">
        <v>307</v>
      </c>
      <c r="F69" s="14"/>
      <c r="G69" s="12"/>
      <c r="H69" s="12"/>
      <c r="I69" s="12"/>
      <c r="J69" s="12"/>
      <c r="K69" s="12"/>
      <c r="L69" s="12"/>
      <c r="M69" s="12"/>
      <c r="N69" s="12"/>
      <c r="O69" s="12"/>
      <c r="P69" s="9" t="str">
        <f aca="false">IF(COUNT(G69:O69)=0,"",MIN(G69:O69))</f>
        <v/>
      </c>
      <c r="Q69" s="7" t="str">
        <f aca="false">IF(P69="","",INDEX($G$1:$O$1,MATCH(P69,G69:O69,0)))</f>
        <v/>
      </c>
      <c r="R69" s="9" t="n">
        <f aca="false">IF(P69="",0,P69*D69)</f>
        <v>0</v>
      </c>
      <c r="S69" s="8" t="s">
        <v>308</v>
      </c>
    </row>
    <row r="70" customFormat="false" ht="15" hidden="false" customHeight="false" outlineLevel="0" collapsed="false">
      <c r="A70" s="6" t="s">
        <v>103</v>
      </c>
      <c r="B70" s="7" t="str">
        <f aca="false">IFERROR(INDEX(Киты!$C:$C,MATCH(A70,Киты!$A:$A,0)),"")</f>
        <v>Kia Picanto 1.0 / 1.2</v>
      </c>
      <c r="C70" s="7" t="s">
        <v>296</v>
      </c>
      <c r="D70" s="14" t="n">
        <v>1</v>
      </c>
      <c r="E70" s="14" t="s">
        <v>309</v>
      </c>
      <c r="F70" s="14"/>
      <c r="G70" s="12"/>
      <c r="H70" s="12"/>
      <c r="I70" s="12"/>
      <c r="J70" s="12"/>
      <c r="K70" s="12"/>
      <c r="L70" s="12"/>
      <c r="M70" s="12"/>
      <c r="N70" s="12"/>
      <c r="O70" s="12"/>
      <c r="P70" s="9" t="str">
        <f aca="false">IF(COUNT(G70:O70)=0,"",MIN(G70:O70))</f>
        <v/>
      </c>
      <c r="Q70" s="7" t="str">
        <f aca="false">IF(P70="","",INDEX($G$1:$O$1,MATCH(P70,G70:O70,0)))</f>
        <v/>
      </c>
      <c r="R70" s="9" t="n">
        <f aca="false">IF(P70="",0,P70*D70)</f>
        <v>0</v>
      </c>
      <c r="S70" s="8" t="s">
        <v>310</v>
      </c>
    </row>
    <row r="71" customFormat="false" ht="15" hidden="false" customHeight="false" outlineLevel="0" collapsed="false">
      <c r="A71" s="6" t="s">
        <v>103</v>
      </c>
      <c r="B71" s="7" t="str">
        <f aca="false">IFERROR(INDEX(Киты!$C:$C,MATCH(A71,Киты!$A:$A,0)),"")</f>
        <v>Kia Picanto 1.0 / 1.2</v>
      </c>
      <c r="C71" s="7" t="s">
        <v>302</v>
      </c>
      <c r="D71" s="14" t="n">
        <v>1</v>
      </c>
      <c r="E71" s="14" t="s">
        <v>309</v>
      </c>
      <c r="F71" s="14"/>
      <c r="G71" s="12"/>
      <c r="H71" s="12"/>
      <c r="I71" s="12"/>
      <c r="J71" s="12"/>
      <c r="K71" s="12"/>
      <c r="L71" s="12"/>
      <c r="M71" s="12"/>
      <c r="N71" s="12"/>
      <c r="O71" s="12"/>
      <c r="P71" s="9" t="str">
        <f aca="false">IF(COUNT(G71:O71)=0,"",MIN(G71:O71))</f>
        <v/>
      </c>
      <c r="Q71" s="7" t="str">
        <f aca="false">IF(P71="","",INDEX($G$1:$O$1,MATCH(P71,G71:O71,0)))</f>
        <v/>
      </c>
      <c r="R71" s="9" t="n">
        <f aca="false">IF(P71="",0,P71*D71)</f>
        <v>0</v>
      </c>
      <c r="S71" s="8" t="s">
        <v>311</v>
      </c>
    </row>
    <row r="72" customFormat="false" ht="15" hidden="false" customHeight="false" outlineLevel="0" collapsed="false">
      <c r="A72" s="6" t="s">
        <v>103</v>
      </c>
      <c r="B72" s="7" t="str">
        <f aca="false">IFERROR(INDEX(Киты!$C:$C,MATCH(A72,Киты!$A:$A,0)),"")</f>
        <v>Kia Picanto 1.0 / 1.2</v>
      </c>
      <c r="C72" s="7" t="s">
        <v>303</v>
      </c>
      <c r="D72" s="14" t="n">
        <v>1</v>
      </c>
      <c r="E72" s="14" t="s">
        <v>312</v>
      </c>
      <c r="F72" s="14"/>
      <c r="G72" s="12"/>
      <c r="H72" s="12"/>
      <c r="I72" s="12"/>
      <c r="J72" s="12"/>
      <c r="K72" s="12"/>
      <c r="L72" s="12"/>
      <c r="M72" s="12"/>
      <c r="N72" s="12"/>
      <c r="O72" s="12"/>
      <c r="P72" s="9" t="str">
        <f aca="false">IF(COUNT(G72:O72)=0,"",MIN(G72:O72))</f>
        <v/>
      </c>
      <c r="Q72" s="7" t="str">
        <f aca="false">IF(P72="","",INDEX($G$1:$O$1,MATCH(P72,G72:O72,0)))</f>
        <v/>
      </c>
      <c r="R72" s="9" t="n">
        <f aca="false">IF(P72="",0,P72*D72)</f>
        <v>0</v>
      </c>
      <c r="S72" s="8" t="s">
        <v>313</v>
      </c>
    </row>
    <row r="73" customFormat="false" ht="15" hidden="false" customHeight="false" outlineLevel="0" collapsed="false">
      <c r="A73" s="6" t="s">
        <v>108</v>
      </c>
      <c r="B73" s="7" t="str">
        <f aca="false">IFERROR(INDEX(Киты!$C:$C,MATCH(A73,Киты!$A:$A,0)),"")</f>
        <v>VW Jetta</v>
      </c>
      <c r="C73" s="7" t="s">
        <v>300</v>
      </c>
      <c r="D73" s="14" t="n">
        <v>1</v>
      </c>
      <c r="E73" s="14" t="s">
        <v>314</v>
      </c>
      <c r="F73" s="14"/>
      <c r="G73" s="12"/>
      <c r="H73" s="12"/>
      <c r="I73" s="12"/>
      <c r="J73" s="12"/>
      <c r="K73" s="12"/>
      <c r="L73" s="12"/>
      <c r="M73" s="12"/>
      <c r="N73" s="12"/>
      <c r="O73" s="12"/>
      <c r="P73" s="9" t="str">
        <f aca="false">IF(COUNT(G73:O73)=0,"",MIN(G73:O73))</f>
        <v/>
      </c>
      <c r="Q73" s="7" t="str">
        <f aca="false">IF(P73="","",INDEX($G$1:$O$1,MATCH(P73,G73:O73,0)))</f>
        <v/>
      </c>
      <c r="R73" s="9" t="n">
        <f aca="false">IF(P73="",0,P73*D73)</f>
        <v>0</v>
      </c>
      <c r="S73" s="8" t="s">
        <v>315</v>
      </c>
    </row>
    <row r="74" customFormat="false" ht="15" hidden="false" customHeight="false" outlineLevel="0" collapsed="false">
      <c r="A74" s="6" t="s">
        <v>108</v>
      </c>
      <c r="B74" s="7" t="str">
        <f aca="false">IFERROR(INDEX(Киты!$C:$C,MATCH(A74,Киты!$A:$A,0)),"")</f>
        <v>VW Jetta</v>
      </c>
      <c r="C74" s="7" t="s">
        <v>296</v>
      </c>
      <c r="D74" s="14" t="n">
        <v>1</v>
      </c>
      <c r="E74" s="14" t="s">
        <v>309</v>
      </c>
      <c r="F74" s="14"/>
      <c r="G74" s="12"/>
      <c r="H74" s="12"/>
      <c r="I74" s="12"/>
      <c r="J74" s="12"/>
      <c r="K74" s="12"/>
      <c r="L74" s="12"/>
      <c r="M74" s="12"/>
      <c r="N74" s="12"/>
      <c r="O74" s="12"/>
      <c r="P74" s="9" t="str">
        <f aca="false">IF(COUNT(G74:O74)=0,"",MIN(G74:O74))</f>
        <v/>
      </c>
      <c r="Q74" s="7" t="str">
        <f aca="false">IF(P74="","",INDEX($G$1:$O$1,MATCH(P74,G74:O74,0)))</f>
        <v/>
      </c>
      <c r="R74" s="9" t="n">
        <f aca="false">IF(P74="",0,P74*D74)</f>
        <v>0</v>
      </c>
      <c r="S74" s="8" t="s">
        <v>316</v>
      </c>
    </row>
    <row r="75" customFormat="false" ht="15" hidden="false" customHeight="false" outlineLevel="0" collapsed="false">
      <c r="A75" s="6" t="s">
        <v>108</v>
      </c>
      <c r="B75" s="7" t="str">
        <f aca="false">IFERROR(INDEX(Киты!$C:$C,MATCH(A75,Киты!$A:$A,0)),"")</f>
        <v>VW Jetta</v>
      </c>
      <c r="C75" s="7" t="s">
        <v>302</v>
      </c>
      <c r="D75" s="14" t="n">
        <v>1</v>
      </c>
      <c r="E75" s="14" t="s">
        <v>317</v>
      </c>
      <c r="F75" s="14"/>
      <c r="G75" s="12"/>
      <c r="H75" s="12"/>
      <c r="I75" s="12"/>
      <c r="J75" s="12"/>
      <c r="K75" s="12"/>
      <c r="L75" s="12"/>
      <c r="M75" s="12"/>
      <c r="N75" s="12"/>
      <c r="O75" s="12"/>
      <c r="P75" s="9" t="str">
        <f aca="false">IF(COUNT(G75:O75)=0,"",MIN(G75:O75))</f>
        <v/>
      </c>
      <c r="Q75" s="7" t="str">
        <f aca="false">IF(P75="","",INDEX($G$1:$O$1,MATCH(P75,G75:O75,0)))</f>
        <v/>
      </c>
      <c r="R75" s="9" t="n">
        <f aca="false">IF(P75="",0,P75*D75)</f>
        <v>0</v>
      </c>
      <c r="S75" s="8" t="s">
        <v>318</v>
      </c>
    </row>
    <row r="76" customFormat="false" ht="15" hidden="false" customHeight="false" outlineLevel="0" collapsed="false">
      <c r="A76" s="6" t="s">
        <v>108</v>
      </c>
      <c r="B76" s="7" t="str">
        <f aca="false">IFERROR(INDEX(Киты!$C:$C,MATCH(A76,Киты!$A:$A,0)),"")</f>
        <v>VW Jetta</v>
      </c>
      <c r="C76" s="7" t="s">
        <v>303</v>
      </c>
      <c r="D76" s="14" t="n">
        <v>1</v>
      </c>
      <c r="E76" s="14" t="s">
        <v>317</v>
      </c>
      <c r="F76" s="14"/>
      <c r="G76" s="12"/>
      <c r="H76" s="12"/>
      <c r="I76" s="12"/>
      <c r="J76" s="12"/>
      <c r="K76" s="12"/>
      <c r="L76" s="12"/>
      <c r="M76" s="12"/>
      <c r="N76" s="12"/>
      <c r="O76" s="12"/>
      <c r="P76" s="9" t="str">
        <f aca="false">IF(COUNT(G76:O76)=0,"",MIN(G76:O76))</f>
        <v/>
      </c>
      <c r="Q76" s="7" t="str">
        <f aca="false">IF(P76="","",INDEX($G$1:$O$1,MATCH(P76,G76:O76,0)))</f>
        <v/>
      </c>
      <c r="R76" s="9" t="n">
        <f aca="false">IF(P76="",0,P76*D76)</f>
        <v>0</v>
      </c>
      <c r="S76" s="8" t="s">
        <v>319</v>
      </c>
    </row>
    <row r="77" customFormat="false" ht="15" hidden="false" customHeight="false" outlineLevel="0" collapsed="false">
      <c r="A77" s="6" t="s">
        <v>114</v>
      </c>
      <c r="B77" s="7" t="str">
        <f aca="false">IFERROR(INDEX(Киты!$C:$C,MATCH(A77,Киты!$A:$A,0)),"")</f>
        <v>Hyundai Solaris 2010–2017</v>
      </c>
      <c r="C77" s="7" t="s">
        <v>320</v>
      </c>
      <c r="D77" s="14" t="n">
        <v>1</v>
      </c>
      <c r="E77" s="14"/>
      <c r="F77" s="14"/>
      <c r="G77" s="12"/>
      <c r="H77" s="12"/>
      <c r="I77" s="12"/>
      <c r="J77" s="12"/>
      <c r="K77" s="12"/>
      <c r="L77" s="12"/>
      <c r="M77" s="12"/>
      <c r="N77" s="12"/>
      <c r="O77" s="12"/>
      <c r="P77" s="9" t="str">
        <f aca="false">IF(COUNT(G77:O77)=0,"",MIN(G77:O77))</f>
        <v/>
      </c>
      <c r="Q77" s="7" t="str">
        <f aca="false">IF(P77="","",INDEX($G$1:$O$1,MATCH(P77,G77:O77,0)))</f>
        <v/>
      </c>
      <c r="R77" s="9" t="n">
        <f aca="false">IF(P77="",0,P77*D77)</f>
        <v>0</v>
      </c>
      <c r="S77" s="8" t="s">
        <v>321</v>
      </c>
    </row>
    <row r="78" customFormat="false" ht="15" hidden="false" customHeight="false" outlineLevel="0" collapsed="false">
      <c r="A78" s="6" t="s">
        <v>114</v>
      </c>
      <c r="B78" s="7" t="str">
        <f aca="false">IFERROR(INDEX(Киты!$C:$C,MATCH(A78,Киты!$A:$A,0)),"")</f>
        <v>Hyundai Solaris 2010–2017</v>
      </c>
      <c r="C78" s="7" t="s">
        <v>322</v>
      </c>
      <c r="D78" s="14" t="n">
        <v>1</v>
      </c>
      <c r="E78" s="14"/>
      <c r="F78" s="14"/>
      <c r="G78" s="12"/>
      <c r="H78" s="12"/>
      <c r="I78" s="12"/>
      <c r="J78" s="12"/>
      <c r="K78" s="12"/>
      <c r="L78" s="12"/>
      <c r="M78" s="12"/>
      <c r="N78" s="12"/>
      <c r="O78" s="12"/>
      <c r="P78" s="9" t="str">
        <f aca="false">IF(COUNT(G78:O78)=0,"",MIN(G78:O78))</f>
        <v/>
      </c>
      <c r="Q78" s="7" t="str">
        <f aca="false">IF(P78="","",INDEX($G$1:$O$1,MATCH(P78,G78:O78,0)))</f>
        <v/>
      </c>
      <c r="R78" s="9" t="n">
        <f aca="false">IF(P78="",0,P78*D78)</f>
        <v>0</v>
      </c>
      <c r="S78" s="8"/>
    </row>
    <row r="79" customFormat="false" ht="15" hidden="false" customHeight="false" outlineLevel="0" collapsed="false">
      <c r="A79" s="6" t="s">
        <v>114</v>
      </c>
      <c r="B79" s="7" t="str">
        <f aca="false">IFERROR(INDEX(Киты!$C:$C,MATCH(A79,Киты!$A:$A,0)),"")</f>
        <v>Hyundai Solaris 2010–2017</v>
      </c>
      <c r="C79" s="7" t="s">
        <v>323</v>
      </c>
      <c r="D79" s="14" t="n">
        <v>1</v>
      </c>
      <c r="E79" s="14"/>
      <c r="F79" s="14"/>
      <c r="G79" s="12"/>
      <c r="H79" s="12"/>
      <c r="I79" s="12"/>
      <c r="J79" s="12"/>
      <c r="K79" s="12"/>
      <c r="L79" s="12"/>
      <c r="M79" s="12"/>
      <c r="N79" s="12"/>
      <c r="O79" s="12"/>
      <c r="P79" s="9" t="str">
        <f aca="false">IF(COUNT(G79:O79)=0,"",MIN(G79:O79))</f>
        <v/>
      </c>
      <c r="Q79" s="7" t="str">
        <f aca="false">IF(P79="","",INDEX($G$1:$O$1,MATCH(P79,G79:O79,0)))</f>
        <v/>
      </c>
      <c r="R79" s="9" t="n">
        <f aca="false">IF(P79="",0,P79*D79)</f>
        <v>0</v>
      </c>
      <c r="S79" s="8"/>
    </row>
    <row r="80" customFormat="false" ht="15" hidden="false" customHeight="false" outlineLevel="0" collapsed="false">
      <c r="A80" s="6" t="s">
        <v>114</v>
      </c>
      <c r="B80" s="7" t="str">
        <f aca="false">IFERROR(INDEX(Киты!$C:$C,MATCH(A80,Киты!$A:$A,0)),"")</f>
        <v>Hyundai Solaris 2010–2017</v>
      </c>
      <c r="C80" s="7" t="s">
        <v>324</v>
      </c>
      <c r="D80" s="14" t="n">
        <v>0</v>
      </c>
      <c r="E80" s="14"/>
      <c r="F80" s="14"/>
      <c r="G80" s="12"/>
      <c r="H80" s="12"/>
      <c r="I80" s="12"/>
      <c r="J80" s="12"/>
      <c r="K80" s="12"/>
      <c r="L80" s="12"/>
      <c r="M80" s="12"/>
      <c r="N80" s="12"/>
      <c r="O80" s="12"/>
      <c r="P80" s="9" t="str">
        <f aca="false">IF(COUNT(G80:O80)=0,"",MIN(G80:O80))</f>
        <v/>
      </c>
      <c r="Q80" s="7" t="str">
        <f aca="false">IF(P80="","",INDEX($G$1:$O$1,MATCH(P80,G80:O80,0)))</f>
        <v/>
      </c>
      <c r="R80" s="9" t="n">
        <f aca="false">IF(P80="",0,P80*D80)</f>
        <v>0</v>
      </c>
      <c r="S80" s="8" t="s">
        <v>325</v>
      </c>
    </row>
    <row r="81" customFormat="false" ht="15" hidden="false" customHeight="false" outlineLevel="0" collapsed="false">
      <c r="A81" s="6" t="s">
        <v>114</v>
      </c>
      <c r="B81" s="7" t="str">
        <f aca="false">IFERROR(INDEX(Киты!$C:$C,MATCH(A81,Киты!$A:$A,0)),"")</f>
        <v>Hyundai Solaris 2010–2017</v>
      </c>
      <c r="C81" s="7" t="s">
        <v>326</v>
      </c>
      <c r="D81" s="14" t="n">
        <v>0</v>
      </c>
      <c r="E81" s="14"/>
      <c r="F81" s="14"/>
      <c r="G81" s="12"/>
      <c r="H81" s="12"/>
      <c r="I81" s="12"/>
      <c r="J81" s="12"/>
      <c r="K81" s="12"/>
      <c r="L81" s="12"/>
      <c r="M81" s="12"/>
      <c r="N81" s="12"/>
      <c r="O81" s="12"/>
      <c r="P81" s="9" t="str">
        <f aca="false">IF(COUNT(G81:O81)=0,"",MIN(G81:O81))</f>
        <v/>
      </c>
      <c r="Q81" s="7" t="str">
        <f aca="false">IF(P81="","",INDEX($G$1:$O$1,MATCH(P81,G81:O81,0)))</f>
        <v/>
      </c>
      <c r="R81" s="9" t="n">
        <f aca="false">IF(P81="",0,P81*D81)</f>
        <v>0</v>
      </c>
      <c r="S81" s="8" t="s">
        <v>327</v>
      </c>
    </row>
    <row r="82" customFormat="false" ht="15" hidden="false" customHeight="false" outlineLevel="0" collapsed="false">
      <c r="A82" s="6" t="s">
        <v>118</v>
      </c>
      <c r="B82" s="7" t="str">
        <f aca="false">IFERROR(INDEX(Киты!$C:$C,MATCH(A82,Киты!$A:$A,0)),"")</f>
        <v>Hyundai Solaris 2017–2022</v>
      </c>
      <c r="C82" s="7" t="s">
        <v>320</v>
      </c>
      <c r="D82" s="14" t="n">
        <v>1</v>
      </c>
      <c r="E82" s="14"/>
      <c r="F82" s="14"/>
      <c r="G82" s="12"/>
      <c r="H82" s="12"/>
      <c r="I82" s="12"/>
      <c r="J82" s="12"/>
      <c r="K82" s="12"/>
      <c r="L82" s="12"/>
      <c r="M82" s="12"/>
      <c r="N82" s="12"/>
      <c r="O82" s="12"/>
      <c r="P82" s="9" t="str">
        <f aca="false">IF(COUNT(G82:O82)=0,"",MIN(G82:O82))</f>
        <v/>
      </c>
      <c r="Q82" s="7" t="str">
        <f aca="false">IF(P82="","",INDEX($G$1:$O$1,MATCH(P82,G82:O82,0)))</f>
        <v/>
      </c>
      <c r="R82" s="9" t="n">
        <f aca="false">IF(P82="",0,P82*D82)</f>
        <v>0</v>
      </c>
      <c r="S82" s="8" t="s">
        <v>321</v>
      </c>
    </row>
    <row r="83" customFormat="false" ht="15" hidden="false" customHeight="false" outlineLevel="0" collapsed="false">
      <c r="A83" s="6" t="s">
        <v>118</v>
      </c>
      <c r="B83" s="7" t="str">
        <f aca="false">IFERROR(INDEX(Киты!$C:$C,MATCH(A83,Киты!$A:$A,0)),"")</f>
        <v>Hyundai Solaris 2017–2022</v>
      </c>
      <c r="C83" s="7" t="s">
        <v>322</v>
      </c>
      <c r="D83" s="14" t="n">
        <v>1</v>
      </c>
      <c r="E83" s="14"/>
      <c r="F83" s="14"/>
      <c r="G83" s="12"/>
      <c r="H83" s="12"/>
      <c r="I83" s="12"/>
      <c r="J83" s="12"/>
      <c r="K83" s="12"/>
      <c r="L83" s="12"/>
      <c r="M83" s="12"/>
      <c r="N83" s="12"/>
      <c r="O83" s="12"/>
      <c r="P83" s="9" t="str">
        <f aca="false">IF(COUNT(G83:O83)=0,"",MIN(G83:O83))</f>
        <v/>
      </c>
      <c r="Q83" s="7" t="str">
        <f aca="false">IF(P83="","",INDEX($G$1:$O$1,MATCH(P83,G83:O83,0)))</f>
        <v/>
      </c>
      <c r="R83" s="9" t="n">
        <f aca="false">IF(P83="",0,P83*D83)</f>
        <v>0</v>
      </c>
      <c r="S83" s="8"/>
    </row>
    <row r="84" customFormat="false" ht="15" hidden="false" customHeight="false" outlineLevel="0" collapsed="false">
      <c r="A84" s="6" t="s">
        <v>118</v>
      </c>
      <c r="B84" s="7" t="str">
        <f aca="false">IFERROR(INDEX(Киты!$C:$C,MATCH(A84,Киты!$A:$A,0)),"")</f>
        <v>Hyundai Solaris 2017–2022</v>
      </c>
      <c r="C84" s="7" t="s">
        <v>323</v>
      </c>
      <c r="D84" s="14" t="n">
        <v>1</v>
      </c>
      <c r="E84" s="14"/>
      <c r="F84" s="14"/>
      <c r="G84" s="12"/>
      <c r="H84" s="12"/>
      <c r="I84" s="12"/>
      <c r="J84" s="12"/>
      <c r="K84" s="12"/>
      <c r="L84" s="12"/>
      <c r="M84" s="12"/>
      <c r="N84" s="12"/>
      <c r="O84" s="12"/>
      <c r="P84" s="9" t="str">
        <f aca="false">IF(COUNT(G84:O84)=0,"",MIN(G84:O84))</f>
        <v/>
      </c>
      <c r="Q84" s="7" t="str">
        <f aca="false">IF(P84="","",INDEX($G$1:$O$1,MATCH(P84,G84:O84,0)))</f>
        <v/>
      </c>
      <c r="R84" s="9" t="n">
        <f aca="false">IF(P84="",0,P84*D84)</f>
        <v>0</v>
      </c>
      <c r="S84" s="8"/>
    </row>
    <row r="85" customFormat="false" ht="15" hidden="false" customHeight="false" outlineLevel="0" collapsed="false">
      <c r="A85" s="6" t="s">
        <v>118</v>
      </c>
      <c r="B85" s="7" t="str">
        <f aca="false">IFERROR(INDEX(Киты!$C:$C,MATCH(A85,Киты!$A:$A,0)),"")</f>
        <v>Hyundai Solaris 2017–2022</v>
      </c>
      <c r="C85" s="7" t="s">
        <v>324</v>
      </c>
      <c r="D85" s="14" t="n">
        <v>0</v>
      </c>
      <c r="E85" s="14"/>
      <c r="F85" s="14"/>
      <c r="G85" s="12"/>
      <c r="H85" s="12"/>
      <c r="I85" s="12"/>
      <c r="J85" s="12"/>
      <c r="K85" s="12"/>
      <c r="L85" s="12"/>
      <c r="M85" s="12"/>
      <c r="N85" s="12"/>
      <c r="O85" s="12"/>
      <c r="P85" s="9" t="str">
        <f aca="false">IF(COUNT(G85:O85)=0,"",MIN(G85:O85))</f>
        <v/>
      </c>
      <c r="Q85" s="7" t="str">
        <f aca="false">IF(P85="","",INDEX($G$1:$O$1,MATCH(P85,G85:O85,0)))</f>
        <v/>
      </c>
      <c r="R85" s="9" t="n">
        <f aca="false">IF(P85="",0,P85*D85)</f>
        <v>0</v>
      </c>
      <c r="S85" s="8" t="s">
        <v>325</v>
      </c>
    </row>
    <row r="86" customFormat="false" ht="15" hidden="false" customHeight="false" outlineLevel="0" collapsed="false">
      <c r="A86" s="6" t="s">
        <v>118</v>
      </c>
      <c r="B86" s="7" t="str">
        <f aca="false">IFERROR(INDEX(Киты!$C:$C,MATCH(A86,Киты!$A:$A,0)),"")</f>
        <v>Hyundai Solaris 2017–2022</v>
      </c>
      <c r="C86" s="7" t="s">
        <v>326</v>
      </c>
      <c r="D86" s="14" t="n">
        <v>0</v>
      </c>
      <c r="E86" s="14"/>
      <c r="F86" s="14"/>
      <c r="G86" s="12"/>
      <c r="H86" s="12"/>
      <c r="I86" s="12"/>
      <c r="J86" s="12"/>
      <c r="K86" s="12"/>
      <c r="L86" s="12"/>
      <c r="M86" s="12"/>
      <c r="N86" s="12"/>
      <c r="O86" s="12"/>
      <c r="P86" s="9" t="str">
        <f aca="false">IF(COUNT(G86:O86)=0,"",MIN(G86:O86))</f>
        <v/>
      </c>
      <c r="Q86" s="7" t="str">
        <f aca="false">IF(P86="","",INDEX($G$1:$O$1,MATCH(P86,G86:O86,0)))</f>
        <v/>
      </c>
      <c r="R86" s="9" t="n">
        <f aca="false">IF(P86="",0,P86*D86)</f>
        <v>0</v>
      </c>
      <c r="S86" s="8" t="s">
        <v>327</v>
      </c>
    </row>
    <row r="87" customFormat="false" ht="15" hidden="false" customHeight="false" outlineLevel="0" collapsed="false">
      <c r="A87" s="6" t="s">
        <v>121</v>
      </c>
      <c r="B87" s="7" t="str">
        <f aca="false">IFERROR(INDEX(Киты!$C:$C,MATCH(A87,Киты!$A:$A,0)),"")</f>
        <v>Kia Rio 2011–2017</v>
      </c>
      <c r="C87" s="7" t="s">
        <v>320</v>
      </c>
      <c r="D87" s="14" t="n">
        <v>1</v>
      </c>
      <c r="E87" s="14"/>
      <c r="F87" s="14"/>
      <c r="G87" s="12"/>
      <c r="H87" s="12"/>
      <c r="I87" s="12"/>
      <c r="J87" s="12"/>
      <c r="K87" s="12"/>
      <c r="L87" s="12"/>
      <c r="M87" s="12"/>
      <c r="N87" s="12"/>
      <c r="O87" s="12"/>
      <c r="P87" s="9" t="str">
        <f aca="false">IF(COUNT(G87:O87)=0,"",MIN(G87:O87))</f>
        <v/>
      </c>
      <c r="Q87" s="7" t="str">
        <f aca="false">IF(P87="","",INDEX($G$1:$O$1,MATCH(P87,G87:O87,0)))</f>
        <v/>
      </c>
      <c r="R87" s="9" t="n">
        <f aca="false">IF(P87="",0,P87*D87)</f>
        <v>0</v>
      </c>
      <c r="S87" s="8" t="s">
        <v>321</v>
      </c>
    </row>
    <row r="88" customFormat="false" ht="15" hidden="false" customHeight="false" outlineLevel="0" collapsed="false">
      <c r="A88" s="6" t="s">
        <v>121</v>
      </c>
      <c r="B88" s="7" t="str">
        <f aca="false">IFERROR(INDEX(Киты!$C:$C,MATCH(A88,Киты!$A:$A,0)),"")</f>
        <v>Kia Rio 2011–2017</v>
      </c>
      <c r="C88" s="7" t="s">
        <v>322</v>
      </c>
      <c r="D88" s="14" t="n">
        <v>1</v>
      </c>
      <c r="E88" s="14"/>
      <c r="F88" s="14"/>
      <c r="G88" s="12"/>
      <c r="H88" s="12"/>
      <c r="I88" s="12"/>
      <c r="J88" s="12"/>
      <c r="K88" s="12"/>
      <c r="L88" s="12"/>
      <c r="M88" s="12"/>
      <c r="N88" s="12"/>
      <c r="O88" s="12"/>
      <c r="P88" s="9" t="str">
        <f aca="false">IF(COUNT(G88:O88)=0,"",MIN(G88:O88))</f>
        <v/>
      </c>
      <c r="Q88" s="7" t="str">
        <f aca="false">IF(P88="","",INDEX($G$1:$O$1,MATCH(P88,G88:O88,0)))</f>
        <v/>
      </c>
      <c r="R88" s="9" t="n">
        <f aca="false">IF(P88="",0,P88*D88)</f>
        <v>0</v>
      </c>
      <c r="S88" s="8"/>
    </row>
    <row r="89" customFormat="false" ht="15" hidden="false" customHeight="false" outlineLevel="0" collapsed="false">
      <c r="A89" s="6" t="s">
        <v>121</v>
      </c>
      <c r="B89" s="7" t="str">
        <f aca="false">IFERROR(INDEX(Киты!$C:$C,MATCH(A89,Киты!$A:$A,0)),"")</f>
        <v>Kia Rio 2011–2017</v>
      </c>
      <c r="C89" s="7" t="s">
        <v>323</v>
      </c>
      <c r="D89" s="14" t="n">
        <v>1</v>
      </c>
      <c r="E89" s="14"/>
      <c r="F89" s="14"/>
      <c r="G89" s="12"/>
      <c r="H89" s="12"/>
      <c r="I89" s="12"/>
      <c r="J89" s="12"/>
      <c r="K89" s="12"/>
      <c r="L89" s="12"/>
      <c r="M89" s="12"/>
      <c r="N89" s="12"/>
      <c r="O89" s="12"/>
      <c r="P89" s="9" t="str">
        <f aca="false">IF(COUNT(G89:O89)=0,"",MIN(G89:O89))</f>
        <v/>
      </c>
      <c r="Q89" s="7" t="str">
        <f aca="false">IF(P89="","",INDEX($G$1:$O$1,MATCH(P89,G89:O89,0)))</f>
        <v/>
      </c>
      <c r="R89" s="9" t="n">
        <f aca="false">IF(P89="",0,P89*D89)</f>
        <v>0</v>
      </c>
      <c r="S89" s="8"/>
    </row>
    <row r="90" customFormat="false" ht="15" hidden="false" customHeight="false" outlineLevel="0" collapsed="false">
      <c r="A90" s="6" t="s">
        <v>121</v>
      </c>
      <c r="B90" s="7" t="str">
        <f aca="false">IFERROR(INDEX(Киты!$C:$C,MATCH(A90,Киты!$A:$A,0)),"")</f>
        <v>Kia Rio 2011–2017</v>
      </c>
      <c r="C90" s="7" t="s">
        <v>324</v>
      </c>
      <c r="D90" s="14" t="n">
        <v>0</v>
      </c>
      <c r="E90" s="14"/>
      <c r="F90" s="14"/>
      <c r="G90" s="12"/>
      <c r="H90" s="12"/>
      <c r="I90" s="12"/>
      <c r="J90" s="12"/>
      <c r="K90" s="12"/>
      <c r="L90" s="12"/>
      <c r="M90" s="12"/>
      <c r="N90" s="12"/>
      <c r="O90" s="12"/>
      <c r="P90" s="9" t="str">
        <f aca="false">IF(COUNT(G90:O90)=0,"",MIN(G90:O90))</f>
        <v/>
      </c>
      <c r="Q90" s="7" t="str">
        <f aca="false">IF(P90="","",INDEX($G$1:$O$1,MATCH(P90,G90:O90,0)))</f>
        <v/>
      </c>
      <c r="R90" s="9" t="n">
        <f aca="false">IF(P90="",0,P90*D90)</f>
        <v>0</v>
      </c>
      <c r="S90" s="8" t="s">
        <v>325</v>
      </c>
    </row>
    <row r="91" customFormat="false" ht="15" hidden="false" customHeight="false" outlineLevel="0" collapsed="false">
      <c r="A91" s="6" t="s">
        <v>121</v>
      </c>
      <c r="B91" s="7" t="str">
        <f aca="false">IFERROR(INDEX(Киты!$C:$C,MATCH(A91,Киты!$A:$A,0)),"")</f>
        <v>Kia Rio 2011–2017</v>
      </c>
      <c r="C91" s="7" t="s">
        <v>326</v>
      </c>
      <c r="D91" s="14" t="n">
        <v>0</v>
      </c>
      <c r="E91" s="14"/>
      <c r="F91" s="14"/>
      <c r="G91" s="12"/>
      <c r="H91" s="12"/>
      <c r="I91" s="12"/>
      <c r="J91" s="12"/>
      <c r="K91" s="12"/>
      <c r="L91" s="12"/>
      <c r="M91" s="12"/>
      <c r="N91" s="12"/>
      <c r="O91" s="12"/>
      <c r="P91" s="9" t="str">
        <f aca="false">IF(COUNT(G91:O91)=0,"",MIN(G91:O91))</f>
        <v/>
      </c>
      <c r="Q91" s="7" t="str">
        <f aca="false">IF(P91="","",INDEX($G$1:$O$1,MATCH(P91,G91:O91,0)))</f>
        <v/>
      </c>
      <c r="R91" s="9" t="n">
        <f aca="false">IF(P91="",0,P91*D91)</f>
        <v>0</v>
      </c>
      <c r="S91" s="8" t="s">
        <v>327</v>
      </c>
    </row>
    <row r="92" customFormat="false" ht="15" hidden="false" customHeight="false" outlineLevel="0" collapsed="false">
      <c r="A92" s="6" t="s">
        <v>124</v>
      </c>
      <c r="B92" s="7" t="str">
        <f aca="false">IFERROR(INDEX(Киты!$C:$C,MATCH(A92,Киты!$A:$A,0)),"")</f>
        <v>Kia Rio 2017–2021</v>
      </c>
      <c r="C92" s="7" t="s">
        <v>320</v>
      </c>
      <c r="D92" s="14" t="n">
        <v>1</v>
      </c>
      <c r="E92" s="14"/>
      <c r="F92" s="14"/>
      <c r="G92" s="12"/>
      <c r="H92" s="12"/>
      <c r="I92" s="12"/>
      <c r="J92" s="12"/>
      <c r="K92" s="12"/>
      <c r="L92" s="12"/>
      <c r="M92" s="12"/>
      <c r="N92" s="12"/>
      <c r="O92" s="12"/>
      <c r="P92" s="9" t="str">
        <f aca="false">IF(COUNT(G92:O92)=0,"",MIN(G92:O92))</f>
        <v/>
      </c>
      <c r="Q92" s="7" t="str">
        <f aca="false">IF(P92="","",INDEX($G$1:$O$1,MATCH(P92,G92:O92,0)))</f>
        <v/>
      </c>
      <c r="R92" s="9" t="n">
        <f aca="false">IF(P92="",0,P92*D92)</f>
        <v>0</v>
      </c>
      <c r="S92" s="8" t="s">
        <v>321</v>
      </c>
    </row>
    <row r="93" customFormat="false" ht="15" hidden="false" customHeight="false" outlineLevel="0" collapsed="false">
      <c r="A93" s="6" t="s">
        <v>124</v>
      </c>
      <c r="B93" s="7" t="str">
        <f aca="false">IFERROR(INDEX(Киты!$C:$C,MATCH(A93,Киты!$A:$A,0)),"")</f>
        <v>Kia Rio 2017–2021</v>
      </c>
      <c r="C93" s="7" t="s">
        <v>322</v>
      </c>
      <c r="D93" s="14" t="n">
        <v>1</v>
      </c>
      <c r="E93" s="14"/>
      <c r="F93" s="14"/>
      <c r="G93" s="12"/>
      <c r="H93" s="12"/>
      <c r="I93" s="12"/>
      <c r="J93" s="12"/>
      <c r="K93" s="12"/>
      <c r="L93" s="12"/>
      <c r="M93" s="12"/>
      <c r="N93" s="12"/>
      <c r="O93" s="12"/>
      <c r="P93" s="9" t="str">
        <f aca="false">IF(COUNT(G93:O93)=0,"",MIN(G93:O93))</f>
        <v/>
      </c>
      <c r="Q93" s="7" t="str">
        <f aca="false">IF(P93="","",INDEX($G$1:$O$1,MATCH(P93,G93:O93,0)))</f>
        <v/>
      </c>
      <c r="R93" s="9" t="n">
        <f aca="false">IF(P93="",0,P93*D93)</f>
        <v>0</v>
      </c>
      <c r="S93" s="8"/>
    </row>
    <row r="94" customFormat="false" ht="15" hidden="false" customHeight="false" outlineLevel="0" collapsed="false">
      <c r="A94" s="6" t="s">
        <v>124</v>
      </c>
      <c r="B94" s="7" t="str">
        <f aca="false">IFERROR(INDEX(Киты!$C:$C,MATCH(A94,Киты!$A:$A,0)),"")</f>
        <v>Kia Rio 2017–2021</v>
      </c>
      <c r="C94" s="7" t="s">
        <v>323</v>
      </c>
      <c r="D94" s="14" t="n">
        <v>1</v>
      </c>
      <c r="E94" s="14"/>
      <c r="F94" s="14"/>
      <c r="G94" s="12"/>
      <c r="H94" s="12"/>
      <c r="I94" s="12"/>
      <c r="J94" s="12"/>
      <c r="K94" s="12"/>
      <c r="L94" s="12"/>
      <c r="M94" s="12"/>
      <c r="N94" s="12"/>
      <c r="O94" s="12"/>
      <c r="P94" s="9" t="str">
        <f aca="false">IF(COUNT(G94:O94)=0,"",MIN(G94:O94))</f>
        <v/>
      </c>
      <c r="Q94" s="7" t="str">
        <f aca="false">IF(P94="","",INDEX($G$1:$O$1,MATCH(P94,G94:O94,0)))</f>
        <v/>
      </c>
      <c r="R94" s="9" t="n">
        <f aca="false">IF(P94="",0,P94*D94)</f>
        <v>0</v>
      </c>
      <c r="S94" s="8"/>
    </row>
    <row r="95" customFormat="false" ht="15" hidden="false" customHeight="false" outlineLevel="0" collapsed="false">
      <c r="A95" s="6" t="s">
        <v>124</v>
      </c>
      <c r="B95" s="7" t="str">
        <f aca="false">IFERROR(INDEX(Киты!$C:$C,MATCH(A95,Киты!$A:$A,0)),"")</f>
        <v>Kia Rio 2017–2021</v>
      </c>
      <c r="C95" s="7" t="s">
        <v>324</v>
      </c>
      <c r="D95" s="14" t="n">
        <v>0</v>
      </c>
      <c r="E95" s="14"/>
      <c r="F95" s="14"/>
      <c r="G95" s="12"/>
      <c r="H95" s="12"/>
      <c r="I95" s="12"/>
      <c r="J95" s="12"/>
      <c r="K95" s="12"/>
      <c r="L95" s="12"/>
      <c r="M95" s="12"/>
      <c r="N95" s="12"/>
      <c r="O95" s="12"/>
      <c r="P95" s="9" t="str">
        <f aca="false">IF(COUNT(G95:O95)=0,"",MIN(G95:O95))</f>
        <v/>
      </c>
      <c r="Q95" s="7" t="str">
        <f aca="false">IF(P95="","",INDEX($G$1:$O$1,MATCH(P95,G95:O95,0)))</f>
        <v/>
      </c>
      <c r="R95" s="9" t="n">
        <f aca="false">IF(P95="",0,P95*D95)</f>
        <v>0</v>
      </c>
      <c r="S95" s="8" t="s">
        <v>325</v>
      </c>
    </row>
    <row r="96" customFormat="false" ht="15" hidden="false" customHeight="false" outlineLevel="0" collapsed="false">
      <c r="A96" s="6" t="s">
        <v>124</v>
      </c>
      <c r="B96" s="7" t="str">
        <f aca="false">IFERROR(INDEX(Киты!$C:$C,MATCH(A96,Киты!$A:$A,0)),"")</f>
        <v>Kia Rio 2017–2021</v>
      </c>
      <c r="C96" s="7" t="s">
        <v>326</v>
      </c>
      <c r="D96" s="14" t="n">
        <v>0</v>
      </c>
      <c r="E96" s="14"/>
      <c r="F96" s="14"/>
      <c r="G96" s="12"/>
      <c r="H96" s="12"/>
      <c r="I96" s="12"/>
      <c r="J96" s="12"/>
      <c r="K96" s="12"/>
      <c r="L96" s="12"/>
      <c r="M96" s="12"/>
      <c r="N96" s="12"/>
      <c r="O96" s="12"/>
      <c r="P96" s="9" t="str">
        <f aca="false">IF(COUNT(G96:O96)=0,"",MIN(G96:O96))</f>
        <v/>
      </c>
      <c r="Q96" s="7" t="str">
        <f aca="false">IF(P96="","",INDEX($G$1:$O$1,MATCH(P96,G96:O96,0)))</f>
        <v/>
      </c>
      <c r="R96" s="9" t="n">
        <f aca="false">IF(P96="",0,P96*D96)</f>
        <v>0</v>
      </c>
      <c r="S96" s="8" t="s">
        <v>327</v>
      </c>
    </row>
    <row r="97" customFormat="false" ht="15" hidden="false" customHeight="false" outlineLevel="0" collapsed="false">
      <c r="A97" s="6" t="s">
        <v>127</v>
      </c>
      <c r="B97" s="7" t="str">
        <f aca="false">IFERROR(INDEX(Киты!$C:$C,MATCH(A97,Киты!$A:$A,0)),"")</f>
        <v>VW Polo 1.6 CFNA</v>
      </c>
      <c r="C97" s="7" t="s">
        <v>320</v>
      </c>
      <c r="D97" s="14" t="n">
        <v>1</v>
      </c>
      <c r="E97" s="14"/>
      <c r="F97" s="14"/>
      <c r="G97" s="12"/>
      <c r="H97" s="12"/>
      <c r="I97" s="12"/>
      <c r="J97" s="12"/>
      <c r="K97" s="12"/>
      <c r="L97" s="12"/>
      <c r="M97" s="12"/>
      <c r="N97" s="12"/>
      <c r="O97" s="12"/>
      <c r="P97" s="9" t="str">
        <f aca="false">IF(COUNT(G97:O97)=0,"",MIN(G97:O97))</f>
        <v/>
      </c>
      <c r="Q97" s="7" t="str">
        <f aca="false">IF(P97="","",INDEX($G$1:$O$1,MATCH(P97,G97:O97,0)))</f>
        <v/>
      </c>
      <c r="R97" s="9" t="n">
        <f aca="false">IF(P97="",0,P97*D97)</f>
        <v>0</v>
      </c>
      <c r="S97" s="8" t="s">
        <v>321</v>
      </c>
    </row>
    <row r="98" customFormat="false" ht="15" hidden="false" customHeight="false" outlineLevel="0" collapsed="false">
      <c r="A98" s="6" t="s">
        <v>127</v>
      </c>
      <c r="B98" s="7" t="str">
        <f aca="false">IFERROR(INDEX(Киты!$C:$C,MATCH(A98,Киты!$A:$A,0)),"")</f>
        <v>VW Polo 1.6 CFNA</v>
      </c>
      <c r="C98" s="7" t="s">
        <v>322</v>
      </c>
      <c r="D98" s="14" t="n">
        <v>1</v>
      </c>
      <c r="E98" s="14"/>
      <c r="F98" s="14"/>
      <c r="G98" s="12"/>
      <c r="H98" s="12"/>
      <c r="I98" s="12"/>
      <c r="J98" s="12"/>
      <c r="K98" s="12"/>
      <c r="L98" s="12"/>
      <c r="M98" s="12"/>
      <c r="N98" s="12"/>
      <c r="O98" s="12"/>
      <c r="P98" s="9" t="str">
        <f aca="false">IF(COUNT(G98:O98)=0,"",MIN(G98:O98))</f>
        <v/>
      </c>
      <c r="Q98" s="7" t="str">
        <f aca="false">IF(P98="","",INDEX($G$1:$O$1,MATCH(P98,G98:O98,0)))</f>
        <v/>
      </c>
      <c r="R98" s="9" t="n">
        <f aca="false">IF(P98="",0,P98*D98)</f>
        <v>0</v>
      </c>
      <c r="S98" s="8"/>
    </row>
    <row r="99" customFormat="false" ht="15" hidden="false" customHeight="false" outlineLevel="0" collapsed="false">
      <c r="A99" s="6" t="s">
        <v>127</v>
      </c>
      <c r="B99" s="7" t="str">
        <f aca="false">IFERROR(INDEX(Киты!$C:$C,MATCH(A99,Киты!$A:$A,0)),"")</f>
        <v>VW Polo 1.6 CFNA</v>
      </c>
      <c r="C99" s="7" t="s">
        <v>323</v>
      </c>
      <c r="D99" s="14" t="n">
        <v>1</v>
      </c>
      <c r="E99" s="14"/>
      <c r="F99" s="14"/>
      <c r="G99" s="12"/>
      <c r="H99" s="12"/>
      <c r="I99" s="12"/>
      <c r="J99" s="12"/>
      <c r="K99" s="12"/>
      <c r="L99" s="12"/>
      <c r="M99" s="12"/>
      <c r="N99" s="12"/>
      <c r="O99" s="12"/>
      <c r="P99" s="9" t="str">
        <f aca="false">IF(COUNT(G99:O99)=0,"",MIN(G99:O99))</f>
        <v/>
      </c>
      <c r="Q99" s="7" t="str">
        <f aca="false">IF(P99="","",INDEX($G$1:$O$1,MATCH(P99,G99:O99,0)))</f>
        <v/>
      </c>
      <c r="R99" s="9" t="n">
        <f aca="false">IF(P99="",0,P99*D99)</f>
        <v>0</v>
      </c>
      <c r="S99" s="8"/>
    </row>
    <row r="100" customFormat="false" ht="15" hidden="false" customHeight="false" outlineLevel="0" collapsed="false">
      <c r="A100" s="6" t="s">
        <v>127</v>
      </c>
      <c r="B100" s="7" t="str">
        <f aca="false">IFERROR(INDEX(Киты!$C:$C,MATCH(A100,Киты!$A:$A,0)),"")</f>
        <v>VW Polo 1.6 CFNA</v>
      </c>
      <c r="C100" s="7" t="s">
        <v>324</v>
      </c>
      <c r="D100" s="14" t="n">
        <v>0</v>
      </c>
      <c r="E100" s="14"/>
      <c r="F100" s="14"/>
      <c r="G100" s="12"/>
      <c r="H100" s="12"/>
      <c r="I100" s="12"/>
      <c r="J100" s="12"/>
      <c r="K100" s="12"/>
      <c r="L100" s="12"/>
      <c r="M100" s="12"/>
      <c r="N100" s="12"/>
      <c r="O100" s="12"/>
      <c r="P100" s="9" t="str">
        <f aca="false">IF(COUNT(G100:O100)=0,"",MIN(G100:O100))</f>
        <v/>
      </c>
      <c r="Q100" s="7" t="str">
        <f aca="false">IF(P100="","",INDEX($G$1:$O$1,MATCH(P100,G100:O100,0)))</f>
        <v/>
      </c>
      <c r="R100" s="9" t="n">
        <f aca="false">IF(P100="",0,P100*D100)</f>
        <v>0</v>
      </c>
      <c r="S100" s="8" t="s">
        <v>325</v>
      </c>
    </row>
    <row r="101" customFormat="false" ht="15" hidden="false" customHeight="false" outlineLevel="0" collapsed="false">
      <c r="A101" s="6" t="s">
        <v>127</v>
      </c>
      <c r="B101" s="7" t="str">
        <f aca="false">IFERROR(INDEX(Киты!$C:$C,MATCH(A101,Киты!$A:$A,0)),"")</f>
        <v>VW Polo 1.6 CFNA</v>
      </c>
      <c r="C101" s="7" t="s">
        <v>326</v>
      </c>
      <c r="D101" s="14" t="n">
        <v>0</v>
      </c>
      <c r="E101" s="14"/>
      <c r="F101" s="14"/>
      <c r="G101" s="12"/>
      <c r="H101" s="12"/>
      <c r="I101" s="12"/>
      <c r="J101" s="12"/>
      <c r="K101" s="12"/>
      <c r="L101" s="12"/>
      <c r="M101" s="12"/>
      <c r="N101" s="12"/>
      <c r="O101" s="12"/>
      <c r="P101" s="9" t="str">
        <f aca="false">IF(COUNT(G101:O101)=0,"",MIN(G101:O101))</f>
        <v/>
      </c>
      <c r="Q101" s="7" t="str">
        <f aca="false">IF(P101="","",INDEX($G$1:$O$1,MATCH(P101,G101:O101,0)))</f>
        <v/>
      </c>
      <c r="R101" s="9" t="n">
        <f aca="false">IF(P101="",0,P101*D101)</f>
        <v>0</v>
      </c>
      <c r="S101" s="8" t="s">
        <v>327</v>
      </c>
    </row>
    <row r="102" customFormat="false" ht="15" hidden="false" customHeight="false" outlineLevel="0" collapsed="false">
      <c r="A102" s="6" t="s">
        <v>131</v>
      </c>
      <c r="B102" s="7" t="str">
        <f aca="false">IFERROR(INDEX(Киты!$C:$C,MATCH(A102,Киты!$A:$A,0)),"")</f>
        <v>VW Polo 1.6 CWVA</v>
      </c>
      <c r="C102" s="7" t="s">
        <v>328</v>
      </c>
      <c r="D102" s="14" t="n">
        <v>1</v>
      </c>
      <c r="E102" s="14"/>
      <c r="F102" s="14"/>
      <c r="G102" s="12"/>
      <c r="H102" s="12"/>
      <c r="I102" s="12"/>
      <c r="J102" s="12"/>
      <c r="K102" s="12"/>
      <c r="L102" s="12"/>
      <c r="M102" s="12"/>
      <c r="N102" s="12"/>
      <c r="O102" s="12"/>
      <c r="P102" s="9" t="str">
        <f aca="false">IF(COUNT(G102:O102)=0,"",MIN(G102:O102))</f>
        <v/>
      </c>
      <c r="Q102" s="7" t="str">
        <f aca="false">IF(P102="","",INDEX($G$1:$O$1,MATCH(P102,G102:O102,0)))</f>
        <v/>
      </c>
      <c r="R102" s="9" t="n">
        <f aca="false">IF(P102="",0,P102*D102)</f>
        <v>0</v>
      </c>
      <c r="S102" s="8"/>
    </row>
    <row r="103" customFormat="false" ht="15" hidden="false" customHeight="false" outlineLevel="0" collapsed="false">
      <c r="A103" s="6" t="s">
        <v>131</v>
      </c>
      <c r="B103" s="7" t="str">
        <f aca="false">IFERROR(INDEX(Киты!$C:$C,MATCH(A103,Киты!$A:$A,0)),"")</f>
        <v>VW Polo 1.6 CWVA</v>
      </c>
      <c r="C103" s="7" t="s">
        <v>324</v>
      </c>
      <c r="D103" s="14" t="n">
        <v>0</v>
      </c>
      <c r="E103" s="14"/>
      <c r="F103" s="14"/>
      <c r="G103" s="12"/>
      <c r="H103" s="12"/>
      <c r="I103" s="12"/>
      <c r="J103" s="12"/>
      <c r="K103" s="12"/>
      <c r="L103" s="12"/>
      <c r="M103" s="12"/>
      <c r="N103" s="12"/>
      <c r="O103" s="12"/>
      <c r="P103" s="9" t="str">
        <f aca="false">IF(COUNT(G103:O103)=0,"",MIN(G103:O103))</f>
        <v/>
      </c>
      <c r="Q103" s="7" t="str">
        <f aca="false">IF(P103="","",INDEX($G$1:$O$1,MATCH(P103,G103:O103,0)))</f>
        <v/>
      </c>
      <c r="R103" s="9" t="n">
        <f aca="false">IF(P103="",0,P103*D103)</f>
        <v>0</v>
      </c>
      <c r="S103" s="8" t="s">
        <v>325</v>
      </c>
    </row>
    <row r="104" customFormat="false" ht="15" hidden="false" customHeight="false" outlineLevel="0" collapsed="false">
      <c r="A104" s="6" t="s">
        <v>131</v>
      </c>
      <c r="B104" s="7" t="str">
        <f aca="false">IFERROR(INDEX(Киты!$C:$C,MATCH(A104,Киты!$A:$A,0)),"")</f>
        <v>VW Polo 1.6 CWVA</v>
      </c>
      <c r="C104" s="7" t="s">
        <v>326</v>
      </c>
      <c r="D104" s="14" t="n">
        <v>0</v>
      </c>
      <c r="E104" s="14"/>
      <c r="F104" s="14"/>
      <c r="G104" s="12"/>
      <c r="H104" s="12"/>
      <c r="I104" s="12"/>
      <c r="J104" s="12"/>
      <c r="K104" s="12"/>
      <c r="L104" s="12"/>
      <c r="M104" s="12"/>
      <c r="N104" s="12"/>
      <c r="O104" s="12"/>
      <c r="P104" s="9" t="str">
        <f aca="false">IF(COUNT(G104:O104)=0,"",MIN(G104:O104))</f>
        <v/>
      </c>
      <c r="Q104" s="7" t="str">
        <f aca="false">IF(P104="","",INDEX($G$1:$O$1,MATCH(P104,G104:O104,0)))</f>
        <v/>
      </c>
      <c r="R104" s="9" t="n">
        <f aca="false">IF(P104="",0,P104*D104)</f>
        <v>0</v>
      </c>
      <c r="S104" s="8" t="s">
        <v>327</v>
      </c>
    </row>
    <row r="105" customFormat="false" ht="15" hidden="false" customHeight="false" outlineLevel="0" collapsed="false">
      <c r="A105" s="6" t="s">
        <v>134</v>
      </c>
      <c r="B105" s="7" t="str">
        <f aca="false">IFERROR(INDEX(Киты!$C:$C,MATCH(A105,Киты!$A:$A,0)),"")</f>
        <v>Haval Jolion 1.5T</v>
      </c>
      <c r="C105" s="7" t="s">
        <v>320</v>
      </c>
      <c r="D105" s="14" t="n">
        <v>1</v>
      </c>
      <c r="E105" s="14"/>
      <c r="F105" s="14"/>
      <c r="G105" s="12"/>
      <c r="H105" s="12"/>
      <c r="I105" s="12"/>
      <c r="J105" s="12"/>
      <c r="K105" s="12"/>
      <c r="L105" s="12"/>
      <c r="M105" s="12"/>
      <c r="N105" s="12"/>
      <c r="O105" s="12"/>
      <c r="P105" s="9" t="str">
        <f aca="false">IF(COUNT(G105:O105)=0,"",MIN(G105:O105))</f>
        <v/>
      </c>
      <c r="Q105" s="7" t="str">
        <f aca="false">IF(P105="","",INDEX($G$1:$O$1,MATCH(P105,G105:O105,0)))</f>
        <v/>
      </c>
      <c r="R105" s="9" t="n">
        <f aca="false">IF(P105="",0,P105*D105)</f>
        <v>0</v>
      </c>
      <c r="S105" s="8" t="s">
        <v>321</v>
      </c>
    </row>
    <row r="106" customFormat="false" ht="15" hidden="false" customHeight="false" outlineLevel="0" collapsed="false">
      <c r="A106" s="6" t="s">
        <v>134</v>
      </c>
      <c r="B106" s="7" t="str">
        <f aca="false">IFERROR(INDEX(Киты!$C:$C,MATCH(A106,Киты!$A:$A,0)),"")</f>
        <v>Haval Jolion 1.5T</v>
      </c>
      <c r="C106" s="7" t="s">
        <v>322</v>
      </c>
      <c r="D106" s="14" t="n">
        <v>1</v>
      </c>
      <c r="E106" s="14"/>
      <c r="F106" s="14"/>
      <c r="G106" s="12"/>
      <c r="H106" s="12"/>
      <c r="I106" s="12"/>
      <c r="J106" s="12"/>
      <c r="K106" s="12"/>
      <c r="L106" s="12"/>
      <c r="M106" s="12"/>
      <c r="N106" s="12"/>
      <c r="O106" s="12"/>
      <c r="P106" s="9" t="str">
        <f aca="false">IF(COUNT(G106:O106)=0,"",MIN(G106:O106))</f>
        <v/>
      </c>
      <c r="Q106" s="7" t="str">
        <f aca="false">IF(P106="","",INDEX($G$1:$O$1,MATCH(P106,G106:O106,0)))</f>
        <v/>
      </c>
      <c r="R106" s="9" t="n">
        <f aca="false">IF(P106="",0,P106*D106)</f>
        <v>0</v>
      </c>
      <c r="S106" s="8"/>
    </row>
    <row r="107" customFormat="false" ht="15" hidden="false" customHeight="false" outlineLevel="0" collapsed="false">
      <c r="A107" s="6" t="s">
        <v>134</v>
      </c>
      <c r="B107" s="7" t="str">
        <f aca="false">IFERROR(INDEX(Киты!$C:$C,MATCH(A107,Киты!$A:$A,0)),"")</f>
        <v>Haval Jolion 1.5T</v>
      </c>
      <c r="C107" s="7" t="s">
        <v>323</v>
      </c>
      <c r="D107" s="14" t="n">
        <v>1</v>
      </c>
      <c r="E107" s="14"/>
      <c r="F107" s="14"/>
      <c r="G107" s="12"/>
      <c r="H107" s="12"/>
      <c r="I107" s="12"/>
      <c r="J107" s="12"/>
      <c r="K107" s="12"/>
      <c r="L107" s="12"/>
      <c r="M107" s="12"/>
      <c r="N107" s="12"/>
      <c r="O107" s="12"/>
      <c r="P107" s="9" t="str">
        <f aca="false">IF(COUNT(G107:O107)=0,"",MIN(G107:O107))</f>
        <v/>
      </c>
      <c r="Q107" s="7" t="str">
        <f aca="false">IF(P107="","",INDEX($G$1:$O$1,MATCH(P107,G107:O107,0)))</f>
        <v/>
      </c>
      <c r="R107" s="9" t="n">
        <f aca="false">IF(P107="",0,P107*D107)</f>
        <v>0</v>
      </c>
      <c r="S107" s="8"/>
    </row>
    <row r="108" customFormat="false" ht="15" hidden="false" customHeight="false" outlineLevel="0" collapsed="false">
      <c r="A108" s="6" t="s">
        <v>134</v>
      </c>
      <c r="B108" s="7" t="str">
        <f aca="false">IFERROR(INDEX(Киты!$C:$C,MATCH(A108,Киты!$A:$A,0)),"")</f>
        <v>Haval Jolion 1.5T</v>
      </c>
      <c r="C108" s="7" t="s">
        <v>324</v>
      </c>
      <c r="D108" s="14" t="n">
        <v>0</v>
      </c>
      <c r="E108" s="14"/>
      <c r="F108" s="14"/>
      <c r="G108" s="12"/>
      <c r="H108" s="12"/>
      <c r="I108" s="12"/>
      <c r="J108" s="12"/>
      <c r="K108" s="12"/>
      <c r="L108" s="12"/>
      <c r="M108" s="12"/>
      <c r="N108" s="12"/>
      <c r="O108" s="12"/>
      <c r="P108" s="9" t="str">
        <f aca="false">IF(COUNT(G108:O108)=0,"",MIN(G108:O108))</f>
        <v/>
      </c>
      <c r="Q108" s="7" t="str">
        <f aca="false">IF(P108="","",INDEX($G$1:$O$1,MATCH(P108,G108:O108,0)))</f>
        <v/>
      </c>
      <c r="R108" s="9" t="n">
        <f aca="false">IF(P108="",0,P108*D108)</f>
        <v>0</v>
      </c>
      <c r="S108" s="8" t="s">
        <v>325</v>
      </c>
    </row>
    <row r="109" customFormat="false" ht="15" hidden="false" customHeight="false" outlineLevel="0" collapsed="false">
      <c r="A109" s="6" t="s">
        <v>134</v>
      </c>
      <c r="B109" s="7" t="str">
        <f aca="false">IFERROR(INDEX(Киты!$C:$C,MATCH(A109,Киты!$A:$A,0)),"")</f>
        <v>Haval Jolion 1.5T</v>
      </c>
      <c r="C109" s="7" t="s">
        <v>326</v>
      </c>
      <c r="D109" s="14" t="n">
        <v>0</v>
      </c>
      <c r="E109" s="14"/>
      <c r="F109" s="14"/>
      <c r="G109" s="12"/>
      <c r="H109" s="12"/>
      <c r="I109" s="12"/>
      <c r="J109" s="12"/>
      <c r="K109" s="12"/>
      <c r="L109" s="12"/>
      <c r="M109" s="12"/>
      <c r="N109" s="12"/>
      <c r="O109" s="12"/>
      <c r="P109" s="9" t="str">
        <f aca="false">IF(COUNT(G109:O109)=0,"",MIN(G109:O109))</f>
        <v/>
      </c>
      <c r="Q109" s="7" t="str">
        <f aca="false">IF(P109="","",INDEX($G$1:$O$1,MATCH(P109,G109:O109,0)))</f>
        <v/>
      </c>
      <c r="R109" s="9" t="n">
        <f aca="false">IF(P109="",0,P109*D109)</f>
        <v>0</v>
      </c>
      <c r="S109" s="8" t="s">
        <v>327</v>
      </c>
    </row>
    <row r="110" customFormat="false" ht="15" hidden="false" customHeight="false" outlineLevel="0" collapsed="false">
      <c r="A110" s="6" t="s">
        <v>137</v>
      </c>
      <c r="B110" s="7" t="str">
        <f aca="false">IFERROR(INDEX(Киты!$C:$C,MATCH(A110,Киты!$A:$A,0)),"")</f>
        <v>Haval F7 / F7x 1.5T</v>
      </c>
      <c r="C110" s="7" t="s">
        <v>320</v>
      </c>
      <c r="D110" s="14" t="n">
        <v>1</v>
      </c>
      <c r="E110" s="14"/>
      <c r="F110" s="14"/>
      <c r="G110" s="12"/>
      <c r="H110" s="12"/>
      <c r="I110" s="12"/>
      <c r="J110" s="12"/>
      <c r="K110" s="12"/>
      <c r="L110" s="12"/>
      <c r="M110" s="12"/>
      <c r="N110" s="12"/>
      <c r="O110" s="12"/>
      <c r="P110" s="9" t="str">
        <f aca="false">IF(COUNT(G110:O110)=0,"",MIN(G110:O110))</f>
        <v/>
      </c>
      <c r="Q110" s="7" t="str">
        <f aca="false">IF(P110="","",INDEX($G$1:$O$1,MATCH(P110,G110:O110,0)))</f>
        <v/>
      </c>
      <c r="R110" s="9" t="n">
        <f aca="false">IF(P110="",0,P110*D110)</f>
        <v>0</v>
      </c>
      <c r="S110" s="8" t="s">
        <v>321</v>
      </c>
    </row>
    <row r="111" customFormat="false" ht="15" hidden="false" customHeight="false" outlineLevel="0" collapsed="false">
      <c r="A111" s="6" t="s">
        <v>137</v>
      </c>
      <c r="B111" s="7" t="str">
        <f aca="false">IFERROR(INDEX(Киты!$C:$C,MATCH(A111,Киты!$A:$A,0)),"")</f>
        <v>Haval F7 / F7x 1.5T</v>
      </c>
      <c r="C111" s="7" t="s">
        <v>322</v>
      </c>
      <c r="D111" s="14" t="n">
        <v>1</v>
      </c>
      <c r="E111" s="14"/>
      <c r="F111" s="14"/>
      <c r="G111" s="12"/>
      <c r="H111" s="12"/>
      <c r="I111" s="12"/>
      <c r="J111" s="12"/>
      <c r="K111" s="12"/>
      <c r="L111" s="12"/>
      <c r="M111" s="12"/>
      <c r="N111" s="12"/>
      <c r="O111" s="12"/>
      <c r="P111" s="9" t="str">
        <f aca="false">IF(COUNT(G111:O111)=0,"",MIN(G111:O111))</f>
        <v/>
      </c>
      <c r="Q111" s="7" t="str">
        <f aca="false">IF(P111="","",INDEX($G$1:$O$1,MATCH(P111,G111:O111,0)))</f>
        <v/>
      </c>
      <c r="R111" s="9" t="n">
        <f aca="false">IF(P111="",0,P111*D111)</f>
        <v>0</v>
      </c>
      <c r="S111" s="8"/>
    </row>
    <row r="112" customFormat="false" ht="15" hidden="false" customHeight="false" outlineLevel="0" collapsed="false">
      <c r="A112" s="6" t="s">
        <v>137</v>
      </c>
      <c r="B112" s="7" t="str">
        <f aca="false">IFERROR(INDEX(Киты!$C:$C,MATCH(A112,Киты!$A:$A,0)),"")</f>
        <v>Haval F7 / F7x 1.5T</v>
      </c>
      <c r="C112" s="7" t="s">
        <v>323</v>
      </c>
      <c r="D112" s="14" t="n">
        <v>1</v>
      </c>
      <c r="E112" s="14"/>
      <c r="F112" s="14"/>
      <c r="G112" s="12"/>
      <c r="H112" s="12"/>
      <c r="I112" s="12"/>
      <c r="J112" s="12"/>
      <c r="K112" s="12"/>
      <c r="L112" s="12"/>
      <c r="M112" s="12"/>
      <c r="N112" s="12"/>
      <c r="O112" s="12"/>
      <c r="P112" s="9" t="str">
        <f aca="false">IF(COUNT(G112:O112)=0,"",MIN(G112:O112))</f>
        <v/>
      </c>
      <c r="Q112" s="7" t="str">
        <f aca="false">IF(P112="","",INDEX($G$1:$O$1,MATCH(P112,G112:O112,0)))</f>
        <v/>
      </c>
      <c r="R112" s="9" t="n">
        <f aca="false">IF(P112="",0,P112*D112)</f>
        <v>0</v>
      </c>
      <c r="S112" s="8"/>
    </row>
    <row r="113" customFormat="false" ht="15" hidden="false" customHeight="false" outlineLevel="0" collapsed="false">
      <c r="A113" s="6" t="s">
        <v>137</v>
      </c>
      <c r="B113" s="7" t="str">
        <f aca="false">IFERROR(INDEX(Киты!$C:$C,MATCH(A113,Киты!$A:$A,0)),"")</f>
        <v>Haval F7 / F7x 1.5T</v>
      </c>
      <c r="C113" s="7" t="s">
        <v>324</v>
      </c>
      <c r="D113" s="14" t="n">
        <v>0</v>
      </c>
      <c r="E113" s="14"/>
      <c r="F113" s="14"/>
      <c r="G113" s="12"/>
      <c r="H113" s="12"/>
      <c r="I113" s="12"/>
      <c r="J113" s="12"/>
      <c r="K113" s="12"/>
      <c r="L113" s="12"/>
      <c r="M113" s="12"/>
      <c r="N113" s="12"/>
      <c r="O113" s="12"/>
      <c r="P113" s="9" t="str">
        <f aca="false">IF(COUNT(G113:O113)=0,"",MIN(G113:O113))</f>
        <v/>
      </c>
      <c r="Q113" s="7" t="str">
        <f aca="false">IF(P113="","",INDEX($G$1:$O$1,MATCH(P113,G113:O113,0)))</f>
        <v/>
      </c>
      <c r="R113" s="9" t="n">
        <f aca="false">IF(P113="",0,P113*D113)</f>
        <v>0</v>
      </c>
      <c r="S113" s="8" t="s">
        <v>325</v>
      </c>
    </row>
    <row r="114" customFormat="false" ht="15" hidden="false" customHeight="false" outlineLevel="0" collapsed="false">
      <c r="A114" s="6" t="s">
        <v>137</v>
      </c>
      <c r="B114" s="7" t="str">
        <f aca="false">IFERROR(INDEX(Киты!$C:$C,MATCH(A114,Киты!$A:$A,0)),"")</f>
        <v>Haval F7 / F7x 1.5T</v>
      </c>
      <c r="C114" s="7" t="s">
        <v>326</v>
      </c>
      <c r="D114" s="14" t="n">
        <v>0</v>
      </c>
      <c r="E114" s="14"/>
      <c r="F114" s="14"/>
      <c r="G114" s="12"/>
      <c r="H114" s="12"/>
      <c r="I114" s="12"/>
      <c r="J114" s="12"/>
      <c r="K114" s="12"/>
      <c r="L114" s="12"/>
      <c r="M114" s="12"/>
      <c r="N114" s="12"/>
      <c r="O114" s="12"/>
      <c r="P114" s="9" t="str">
        <f aca="false">IF(COUNT(G114:O114)=0,"",MIN(G114:O114))</f>
        <v/>
      </c>
      <c r="Q114" s="7" t="str">
        <f aca="false">IF(P114="","",INDEX($G$1:$O$1,MATCH(P114,G114:O114,0)))</f>
        <v/>
      </c>
      <c r="R114" s="9" t="n">
        <f aca="false">IF(P114="",0,P114*D114)</f>
        <v>0</v>
      </c>
      <c r="S114" s="8" t="s">
        <v>327</v>
      </c>
    </row>
    <row r="115" customFormat="false" ht="15" hidden="false" customHeight="false" outlineLevel="0" collapsed="false">
      <c r="A115" s="6" t="s">
        <v>140</v>
      </c>
      <c r="B115" s="7" t="str">
        <f aca="false">IFERROR(INDEX(Киты!$C:$C,MATCH(A115,Киты!$A:$A,0)),"")</f>
        <v>Haval F7 / F7x 2.0T</v>
      </c>
      <c r="C115" s="7" t="s">
        <v>320</v>
      </c>
      <c r="D115" s="14" t="n">
        <v>1</v>
      </c>
      <c r="E115" s="14"/>
      <c r="F115" s="14"/>
      <c r="G115" s="12"/>
      <c r="H115" s="12"/>
      <c r="I115" s="12"/>
      <c r="J115" s="12"/>
      <c r="K115" s="12"/>
      <c r="L115" s="12"/>
      <c r="M115" s="12"/>
      <c r="N115" s="12"/>
      <c r="O115" s="12"/>
      <c r="P115" s="9" t="str">
        <f aca="false">IF(COUNT(G115:O115)=0,"",MIN(G115:O115))</f>
        <v/>
      </c>
      <c r="Q115" s="7" t="str">
        <f aca="false">IF(P115="","",INDEX($G$1:$O$1,MATCH(P115,G115:O115,0)))</f>
        <v/>
      </c>
      <c r="R115" s="9" t="n">
        <f aca="false">IF(P115="",0,P115*D115)</f>
        <v>0</v>
      </c>
      <c r="S115" s="8" t="s">
        <v>321</v>
      </c>
    </row>
    <row r="116" customFormat="false" ht="15" hidden="false" customHeight="false" outlineLevel="0" collapsed="false">
      <c r="A116" s="6" t="s">
        <v>140</v>
      </c>
      <c r="B116" s="7" t="str">
        <f aca="false">IFERROR(INDEX(Киты!$C:$C,MATCH(A116,Киты!$A:$A,0)),"")</f>
        <v>Haval F7 / F7x 2.0T</v>
      </c>
      <c r="C116" s="7" t="s">
        <v>322</v>
      </c>
      <c r="D116" s="14" t="n">
        <v>1</v>
      </c>
      <c r="E116" s="14"/>
      <c r="F116" s="14"/>
      <c r="G116" s="12"/>
      <c r="H116" s="12"/>
      <c r="I116" s="12"/>
      <c r="J116" s="12"/>
      <c r="K116" s="12"/>
      <c r="L116" s="12"/>
      <c r="M116" s="12"/>
      <c r="N116" s="12"/>
      <c r="O116" s="12"/>
      <c r="P116" s="9" t="str">
        <f aca="false">IF(COUNT(G116:O116)=0,"",MIN(G116:O116))</f>
        <v/>
      </c>
      <c r="Q116" s="7" t="str">
        <f aca="false">IF(P116="","",INDEX($G$1:$O$1,MATCH(P116,G116:O116,0)))</f>
        <v/>
      </c>
      <c r="R116" s="9" t="n">
        <f aca="false">IF(P116="",0,P116*D116)</f>
        <v>0</v>
      </c>
      <c r="S116" s="8"/>
    </row>
    <row r="117" customFormat="false" ht="15" hidden="false" customHeight="false" outlineLevel="0" collapsed="false">
      <c r="A117" s="6" t="s">
        <v>140</v>
      </c>
      <c r="B117" s="7" t="str">
        <f aca="false">IFERROR(INDEX(Киты!$C:$C,MATCH(A117,Киты!$A:$A,0)),"")</f>
        <v>Haval F7 / F7x 2.0T</v>
      </c>
      <c r="C117" s="7" t="s">
        <v>323</v>
      </c>
      <c r="D117" s="14" t="n">
        <v>1</v>
      </c>
      <c r="E117" s="14"/>
      <c r="F117" s="14"/>
      <c r="G117" s="12"/>
      <c r="H117" s="12"/>
      <c r="I117" s="12"/>
      <c r="J117" s="12"/>
      <c r="K117" s="12"/>
      <c r="L117" s="12"/>
      <c r="M117" s="12"/>
      <c r="N117" s="12"/>
      <c r="O117" s="12"/>
      <c r="P117" s="9" t="str">
        <f aca="false">IF(COUNT(G117:O117)=0,"",MIN(G117:O117))</f>
        <v/>
      </c>
      <c r="Q117" s="7" t="str">
        <f aca="false">IF(P117="","",INDEX($G$1:$O$1,MATCH(P117,G117:O117,0)))</f>
        <v/>
      </c>
      <c r="R117" s="9" t="n">
        <f aca="false">IF(P117="",0,P117*D117)</f>
        <v>0</v>
      </c>
      <c r="S117" s="8"/>
    </row>
    <row r="118" customFormat="false" ht="15" hidden="false" customHeight="false" outlineLevel="0" collapsed="false">
      <c r="A118" s="6" t="s">
        <v>140</v>
      </c>
      <c r="B118" s="7" t="str">
        <f aca="false">IFERROR(INDEX(Киты!$C:$C,MATCH(A118,Киты!$A:$A,0)),"")</f>
        <v>Haval F7 / F7x 2.0T</v>
      </c>
      <c r="C118" s="7" t="s">
        <v>324</v>
      </c>
      <c r="D118" s="14" t="n">
        <v>0</v>
      </c>
      <c r="E118" s="14"/>
      <c r="F118" s="14"/>
      <c r="G118" s="12"/>
      <c r="H118" s="12"/>
      <c r="I118" s="12"/>
      <c r="J118" s="12"/>
      <c r="K118" s="12"/>
      <c r="L118" s="12"/>
      <c r="M118" s="12"/>
      <c r="N118" s="12"/>
      <c r="O118" s="12"/>
      <c r="P118" s="9" t="str">
        <f aca="false">IF(COUNT(G118:O118)=0,"",MIN(G118:O118))</f>
        <v/>
      </c>
      <c r="Q118" s="7" t="str">
        <f aca="false">IF(P118="","",INDEX($G$1:$O$1,MATCH(P118,G118:O118,0)))</f>
        <v/>
      </c>
      <c r="R118" s="9" t="n">
        <f aca="false">IF(P118="",0,P118*D118)</f>
        <v>0</v>
      </c>
      <c r="S118" s="8" t="s">
        <v>325</v>
      </c>
    </row>
    <row r="119" customFormat="false" ht="15" hidden="false" customHeight="false" outlineLevel="0" collapsed="false">
      <c r="A119" s="6" t="s">
        <v>140</v>
      </c>
      <c r="B119" s="7" t="str">
        <f aca="false">IFERROR(INDEX(Киты!$C:$C,MATCH(A119,Киты!$A:$A,0)),"")</f>
        <v>Haval F7 / F7x 2.0T</v>
      </c>
      <c r="C119" s="7" t="s">
        <v>326</v>
      </c>
      <c r="D119" s="14" t="n">
        <v>0</v>
      </c>
      <c r="E119" s="14"/>
      <c r="F119" s="14"/>
      <c r="G119" s="12"/>
      <c r="H119" s="12"/>
      <c r="I119" s="12"/>
      <c r="J119" s="12"/>
      <c r="K119" s="12"/>
      <c r="L119" s="12"/>
      <c r="M119" s="12"/>
      <c r="N119" s="12"/>
      <c r="O119" s="12"/>
      <c r="P119" s="9" t="str">
        <f aca="false">IF(COUNT(G119:O119)=0,"",MIN(G119:O119))</f>
        <v/>
      </c>
      <c r="Q119" s="7" t="str">
        <f aca="false">IF(P119="","",INDEX($G$1:$O$1,MATCH(P119,G119:O119,0)))</f>
        <v/>
      </c>
      <c r="R119" s="9" t="n">
        <f aca="false">IF(P119="",0,P119*D119)</f>
        <v>0</v>
      </c>
      <c r="S119" s="8" t="s">
        <v>327</v>
      </c>
    </row>
    <row r="120" customFormat="false" ht="15" hidden="false" customHeight="false" outlineLevel="0" collapsed="false">
      <c r="A120" s="6" t="s">
        <v>143</v>
      </c>
      <c r="B120" s="7" t="str">
        <f aca="false">IFERROR(INDEX(Киты!$C:$C,MATCH(A120,Киты!$A:$A,0)),"")</f>
        <v>Chery Tiggo 7 Pro / 4 Pro 1.5T</v>
      </c>
      <c r="C120" s="7" t="s">
        <v>320</v>
      </c>
      <c r="D120" s="14" t="n">
        <v>1</v>
      </c>
      <c r="E120" s="14"/>
      <c r="F120" s="14"/>
      <c r="G120" s="12"/>
      <c r="H120" s="12"/>
      <c r="I120" s="12"/>
      <c r="J120" s="12"/>
      <c r="K120" s="12"/>
      <c r="L120" s="12"/>
      <c r="M120" s="12"/>
      <c r="N120" s="12"/>
      <c r="O120" s="12"/>
      <c r="P120" s="9" t="str">
        <f aca="false">IF(COUNT(G120:O120)=0,"",MIN(G120:O120))</f>
        <v/>
      </c>
      <c r="Q120" s="7" t="str">
        <f aca="false">IF(P120="","",INDEX($G$1:$O$1,MATCH(P120,G120:O120,0)))</f>
        <v/>
      </c>
      <c r="R120" s="9" t="n">
        <f aca="false">IF(P120="",0,P120*D120)</f>
        <v>0</v>
      </c>
      <c r="S120" s="8" t="s">
        <v>321</v>
      </c>
    </row>
    <row r="121" customFormat="false" ht="15" hidden="false" customHeight="false" outlineLevel="0" collapsed="false">
      <c r="A121" s="6" t="s">
        <v>143</v>
      </c>
      <c r="B121" s="7" t="str">
        <f aca="false">IFERROR(INDEX(Киты!$C:$C,MATCH(A121,Киты!$A:$A,0)),"")</f>
        <v>Chery Tiggo 7 Pro / 4 Pro 1.5T</v>
      </c>
      <c r="C121" s="7" t="s">
        <v>322</v>
      </c>
      <c r="D121" s="14" t="n">
        <v>1</v>
      </c>
      <c r="E121" s="14"/>
      <c r="F121" s="14"/>
      <c r="G121" s="12"/>
      <c r="H121" s="12"/>
      <c r="I121" s="12"/>
      <c r="J121" s="12"/>
      <c r="K121" s="12"/>
      <c r="L121" s="12"/>
      <c r="M121" s="12"/>
      <c r="N121" s="12"/>
      <c r="O121" s="12"/>
      <c r="P121" s="9" t="str">
        <f aca="false">IF(COUNT(G121:O121)=0,"",MIN(G121:O121))</f>
        <v/>
      </c>
      <c r="Q121" s="7" t="str">
        <f aca="false">IF(P121="","",INDEX($G$1:$O$1,MATCH(P121,G121:O121,0)))</f>
        <v/>
      </c>
      <c r="R121" s="9" t="n">
        <f aca="false">IF(P121="",0,P121*D121)</f>
        <v>0</v>
      </c>
      <c r="S121" s="8"/>
    </row>
    <row r="122" customFormat="false" ht="15" hidden="false" customHeight="false" outlineLevel="0" collapsed="false">
      <c r="A122" s="6" t="s">
        <v>143</v>
      </c>
      <c r="B122" s="7" t="str">
        <f aca="false">IFERROR(INDEX(Киты!$C:$C,MATCH(A122,Киты!$A:$A,0)),"")</f>
        <v>Chery Tiggo 7 Pro / 4 Pro 1.5T</v>
      </c>
      <c r="C122" s="7" t="s">
        <v>323</v>
      </c>
      <c r="D122" s="14" t="n">
        <v>1</v>
      </c>
      <c r="E122" s="14"/>
      <c r="F122" s="14"/>
      <c r="G122" s="12"/>
      <c r="H122" s="12"/>
      <c r="I122" s="12"/>
      <c r="J122" s="12"/>
      <c r="K122" s="12"/>
      <c r="L122" s="12"/>
      <c r="M122" s="12"/>
      <c r="N122" s="12"/>
      <c r="O122" s="12"/>
      <c r="P122" s="9" t="str">
        <f aca="false">IF(COUNT(G122:O122)=0,"",MIN(G122:O122))</f>
        <v/>
      </c>
      <c r="Q122" s="7" t="str">
        <f aca="false">IF(P122="","",INDEX($G$1:$O$1,MATCH(P122,G122:O122,0)))</f>
        <v/>
      </c>
      <c r="R122" s="9" t="n">
        <f aca="false">IF(P122="",0,P122*D122)</f>
        <v>0</v>
      </c>
      <c r="S122" s="8"/>
    </row>
    <row r="123" customFormat="false" ht="15" hidden="false" customHeight="false" outlineLevel="0" collapsed="false">
      <c r="A123" s="6" t="s">
        <v>143</v>
      </c>
      <c r="B123" s="7" t="str">
        <f aca="false">IFERROR(INDEX(Киты!$C:$C,MATCH(A123,Киты!$A:$A,0)),"")</f>
        <v>Chery Tiggo 7 Pro / 4 Pro 1.5T</v>
      </c>
      <c r="C123" s="7" t="s">
        <v>324</v>
      </c>
      <c r="D123" s="14" t="n">
        <v>0</v>
      </c>
      <c r="E123" s="14"/>
      <c r="F123" s="14"/>
      <c r="G123" s="12"/>
      <c r="H123" s="12"/>
      <c r="I123" s="12"/>
      <c r="J123" s="12"/>
      <c r="K123" s="12"/>
      <c r="L123" s="12"/>
      <c r="M123" s="12"/>
      <c r="N123" s="12"/>
      <c r="O123" s="12"/>
      <c r="P123" s="9" t="str">
        <f aca="false">IF(COUNT(G123:O123)=0,"",MIN(G123:O123))</f>
        <v/>
      </c>
      <c r="Q123" s="7" t="str">
        <f aca="false">IF(P123="","",INDEX($G$1:$O$1,MATCH(P123,G123:O123,0)))</f>
        <v/>
      </c>
      <c r="R123" s="9" t="n">
        <f aca="false">IF(P123="",0,P123*D123)</f>
        <v>0</v>
      </c>
      <c r="S123" s="8" t="s">
        <v>325</v>
      </c>
    </row>
    <row r="124" customFormat="false" ht="15" hidden="false" customHeight="false" outlineLevel="0" collapsed="false">
      <c r="A124" s="6" t="s">
        <v>143</v>
      </c>
      <c r="B124" s="7" t="str">
        <f aca="false">IFERROR(INDEX(Киты!$C:$C,MATCH(A124,Киты!$A:$A,0)),"")</f>
        <v>Chery Tiggo 7 Pro / 4 Pro 1.5T</v>
      </c>
      <c r="C124" s="7" t="s">
        <v>326</v>
      </c>
      <c r="D124" s="14" t="n">
        <v>0</v>
      </c>
      <c r="E124" s="14"/>
      <c r="F124" s="14"/>
      <c r="G124" s="12"/>
      <c r="H124" s="12"/>
      <c r="I124" s="12"/>
      <c r="J124" s="12"/>
      <c r="K124" s="12"/>
      <c r="L124" s="12"/>
      <c r="M124" s="12"/>
      <c r="N124" s="12"/>
      <c r="O124" s="12"/>
      <c r="P124" s="9" t="str">
        <f aca="false">IF(COUNT(G124:O124)=0,"",MIN(G124:O124))</f>
        <v/>
      </c>
      <c r="Q124" s="7" t="str">
        <f aca="false">IF(P124="","",INDEX($G$1:$O$1,MATCH(P124,G124:O124,0)))</f>
        <v/>
      </c>
      <c r="R124" s="9" t="n">
        <f aca="false">IF(P124="",0,P124*D124)</f>
        <v>0</v>
      </c>
      <c r="S124" s="8" t="s">
        <v>327</v>
      </c>
    </row>
    <row r="125" customFormat="false" ht="15" hidden="false" customHeight="false" outlineLevel="0" collapsed="false">
      <c r="A125" s="6" t="s">
        <v>148</v>
      </c>
      <c r="B125" s="7" t="str">
        <f aca="false">IFERROR(INDEX(Киты!$C:$C,MATCH(A125,Киты!$A:$A,0)),"")</f>
        <v>Geely Coolray 1.5T</v>
      </c>
      <c r="C125" s="7" t="s">
        <v>329</v>
      </c>
      <c r="D125" s="14" t="n">
        <v>1</v>
      </c>
      <c r="E125" s="14" t="s">
        <v>330</v>
      </c>
      <c r="F125" s="14" t="s">
        <v>331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9" t="str">
        <f aca="false">IF(COUNT(G125:O125)=0,"",MIN(G125:O125))</f>
        <v/>
      </c>
      <c r="Q125" s="7" t="str">
        <f aca="false">IF(P125="","",INDEX($G$1:$O$1,MATCH(P125,G125:O125,0)))</f>
        <v/>
      </c>
      <c r="R125" s="9" t="n">
        <f aca="false">IF(P125="",0,P125*D125)</f>
        <v>0</v>
      </c>
      <c r="S125" s="8" t="s">
        <v>332</v>
      </c>
    </row>
    <row r="126" customFormat="false" ht="15" hidden="false" customHeight="false" outlineLevel="0" collapsed="false">
      <c r="A126" s="6" t="s">
        <v>148</v>
      </c>
      <c r="B126" s="7" t="str">
        <f aca="false">IFERROR(INDEX(Киты!$C:$C,MATCH(A126,Киты!$A:$A,0)),"")</f>
        <v>Geely Coolray 1.5T</v>
      </c>
      <c r="C126" s="7" t="s">
        <v>333</v>
      </c>
      <c r="D126" s="14" t="n">
        <v>1</v>
      </c>
      <c r="E126" s="14"/>
      <c r="F126" s="14"/>
      <c r="G126" s="12"/>
      <c r="H126" s="12"/>
      <c r="I126" s="12"/>
      <c r="J126" s="12"/>
      <c r="K126" s="12"/>
      <c r="L126" s="12"/>
      <c r="M126" s="12"/>
      <c r="N126" s="12"/>
      <c r="O126" s="12"/>
      <c r="P126" s="9" t="str">
        <f aca="false">IF(COUNT(G126:O126)=0,"",MIN(G126:O126))</f>
        <v/>
      </c>
      <c r="Q126" s="7" t="str">
        <f aca="false">IF(P126="","",INDEX($G$1:$O$1,MATCH(P126,G126:O126,0)))</f>
        <v/>
      </c>
      <c r="R126" s="9" t="n">
        <f aca="false">IF(P126="",0,P126*D126)</f>
        <v>0</v>
      </c>
      <c r="S126" s="8" t="s">
        <v>334</v>
      </c>
    </row>
    <row r="127" customFormat="false" ht="15" hidden="false" customHeight="false" outlineLevel="0" collapsed="false">
      <c r="A127" s="6" t="s">
        <v>148</v>
      </c>
      <c r="B127" s="7" t="str">
        <f aca="false">IFERROR(INDEX(Киты!$C:$C,MATCH(A127,Киты!$A:$A,0)),"")</f>
        <v>Geely Coolray 1.5T</v>
      </c>
      <c r="C127" s="7" t="s">
        <v>324</v>
      </c>
      <c r="D127" s="14" t="n">
        <v>0</v>
      </c>
      <c r="E127" s="14"/>
      <c r="F127" s="14"/>
      <c r="G127" s="12"/>
      <c r="H127" s="12"/>
      <c r="I127" s="12"/>
      <c r="J127" s="12"/>
      <c r="K127" s="12"/>
      <c r="L127" s="12"/>
      <c r="M127" s="12"/>
      <c r="N127" s="12"/>
      <c r="O127" s="12"/>
      <c r="P127" s="9" t="str">
        <f aca="false">IF(COUNT(G127:O127)=0,"",MIN(G127:O127))</f>
        <v/>
      </c>
      <c r="Q127" s="7" t="str">
        <f aca="false">IF(P127="","",INDEX($G$1:$O$1,MATCH(P127,G127:O127,0)))</f>
        <v/>
      </c>
      <c r="R127" s="9" t="n">
        <f aca="false">IF(P127="",0,P127*D127)</f>
        <v>0</v>
      </c>
      <c r="S127" s="8" t="s">
        <v>325</v>
      </c>
    </row>
    <row r="128" customFormat="false" ht="15" hidden="false" customHeight="false" outlineLevel="0" collapsed="false">
      <c r="A128" s="6" t="s">
        <v>148</v>
      </c>
      <c r="B128" s="7" t="str">
        <f aca="false">IFERROR(INDEX(Киты!$C:$C,MATCH(A128,Киты!$A:$A,0)),"")</f>
        <v>Geely Coolray 1.5T</v>
      </c>
      <c r="C128" s="7" t="s">
        <v>326</v>
      </c>
      <c r="D128" s="14" t="n">
        <v>0</v>
      </c>
      <c r="E128" s="14"/>
      <c r="F128" s="14"/>
      <c r="G128" s="12"/>
      <c r="H128" s="12"/>
      <c r="I128" s="12"/>
      <c r="J128" s="12"/>
      <c r="K128" s="12"/>
      <c r="L128" s="12"/>
      <c r="M128" s="12"/>
      <c r="N128" s="12"/>
      <c r="O128" s="12"/>
      <c r="P128" s="9" t="str">
        <f aca="false">IF(COUNT(G128:O128)=0,"",MIN(G128:O128))</f>
        <v/>
      </c>
      <c r="Q128" s="7" t="str">
        <f aca="false">IF(P128="","",INDEX($G$1:$O$1,MATCH(P128,G128:O128,0)))</f>
        <v/>
      </c>
      <c r="R128" s="9" t="n">
        <f aca="false">IF(P128="",0,P128*D128)</f>
        <v>0</v>
      </c>
      <c r="S128" s="8" t="s">
        <v>327</v>
      </c>
    </row>
    <row r="129" customFormat="false" ht="23.85" hidden="false" customHeight="false" outlineLevel="0" collapsed="false">
      <c r="A129" s="6" t="s">
        <v>151</v>
      </c>
      <c r="B129" s="7" t="str">
        <f aca="false">IFERROR(INDEX(Киты!$C:$C,MATCH(A129,Киты!$A:$A,0)),"")</f>
        <v>Kia Rio 2017–2021</v>
      </c>
      <c r="C129" s="7" t="s">
        <v>335</v>
      </c>
      <c r="D129" s="14" t="n">
        <v>1</v>
      </c>
      <c r="E129" s="14" t="s">
        <v>309</v>
      </c>
      <c r="F129" s="14" t="s">
        <v>336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9" t="str">
        <f aca="false">IF(COUNT(G129:O129)=0,"",MIN(G129:O129))</f>
        <v/>
      </c>
      <c r="Q129" s="7" t="str">
        <f aca="false">IF(P129="","",INDEX($G$1:$O$1,MATCH(P129,G129:O129,0)))</f>
        <v/>
      </c>
      <c r="R129" s="9" t="n">
        <f aca="false">IF(P129="",0,P129*D129)</f>
        <v>0</v>
      </c>
      <c r="S129" s="8" t="s">
        <v>337</v>
      </c>
    </row>
    <row r="130" customFormat="false" ht="15" hidden="false" customHeight="false" outlineLevel="0" collapsed="false">
      <c r="A130" s="6" t="s">
        <v>151</v>
      </c>
      <c r="B130" s="7" t="str">
        <f aca="false">IFERROR(INDEX(Киты!$C:$C,MATCH(A130,Киты!$A:$A,0)),"")</f>
        <v>Kia Rio 2017–2021</v>
      </c>
      <c r="C130" s="7" t="s">
        <v>338</v>
      </c>
      <c r="D130" s="14" t="n">
        <v>1</v>
      </c>
      <c r="E130" s="14" t="s">
        <v>309</v>
      </c>
      <c r="F130" s="14" t="s">
        <v>339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9" t="str">
        <f aca="false">IF(COUNT(G130:O130)=0,"",MIN(G130:O130))</f>
        <v/>
      </c>
      <c r="Q130" s="7" t="str">
        <f aca="false">IF(P130="","",INDEX($G$1:$O$1,MATCH(P130,G130:O130,0)))</f>
        <v/>
      </c>
      <c r="R130" s="9" t="n">
        <f aca="false">IF(P130="",0,P130*D130)</f>
        <v>0</v>
      </c>
      <c r="S130" s="8" t="s">
        <v>340</v>
      </c>
    </row>
    <row r="131" customFormat="false" ht="15" hidden="false" customHeight="false" outlineLevel="0" collapsed="false">
      <c r="A131" s="6" t="s">
        <v>151</v>
      </c>
      <c r="B131" s="7" t="str">
        <f aca="false">IFERROR(INDEX(Киты!$C:$C,MATCH(A131,Киты!$A:$A,0)),"")</f>
        <v>Kia Rio 2017–2021</v>
      </c>
      <c r="C131" s="7" t="s">
        <v>341</v>
      </c>
      <c r="D131" s="14" t="n">
        <v>1</v>
      </c>
      <c r="E131" s="14"/>
      <c r="F131" s="14"/>
      <c r="G131" s="12"/>
      <c r="H131" s="12"/>
      <c r="I131" s="12"/>
      <c r="J131" s="12"/>
      <c r="K131" s="12"/>
      <c r="L131" s="12"/>
      <c r="M131" s="12"/>
      <c r="N131" s="12"/>
      <c r="O131" s="12"/>
      <c r="P131" s="9" t="str">
        <f aca="false">IF(COUNT(G131:O131)=0,"",MIN(G131:O131))</f>
        <v/>
      </c>
      <c r="Q131" s="7" t="str">
        <f aca="false">IF(P131="","",INDEX($G$1:$O$1,MATCH(P131,G131:O131,0)))</f>
        <v/>
      </c>
      <c r="R131" s="9" t="n">
        <f aca="false">IF(P131="",0,P131*D131)</f>
        <v>0</v>
      </c>
      <c r="S131" s="8" t="s">
        <v>342</v>
      </c>
    </row>
    <row r="132" customFormat="false" ht="23.85" hidden="false" customHeight="false" outlineLevel="0" collapsed="false">
      <c r="A132" s="6" t="s">
        <v>156</v>
      </c>
      <c r="B132" s="7" t="str">
        <f aca="false">IFERROR(INDEX(Киты!$C:$C,MATCH(A132,Киты!$A:$A,0)),"")</f>
        <v>Hyundai Solaris 2017–2022</v>
      </c>
      <c r="C132" s="7" t="s">
        <v>335</v>
      </c>
      <c r="D132" s="14" t="n">
        <v>1</v>
      </c>
      <c r="E132" s="14" t="s">
        <v>309</v>
      </c>
      <c r="F132" s="14" t="s">
        <v>336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9" t="str">
        <f aca="false">IF(COUNT(G132:O132)=0,"",MIN(G132:O132))</f>
        <v/>
      </c>
      <c r="Q132" s="7" t="str">
        <f aca="false">IF(P132="","",INDEX($G$1:$O$1,MATCH(P132,G132:O132,0)))</f>
        <v/>
      </c>
      <c r="R132" s="9" t="n">
        <f aca="false">IF(P132="",0,P132*D132)</f>
        <v>0</v>
      </c>
      <c r="S132" s="8" t="s">
        <v>337</v>
      </c>
    </row>
    <row r="133" customFormat="false" ht="15" hidden="false" customHeight="false" outlineLevel="0" collapsed="false">
      <c r="A133" s="6" t="s">
        <v>156</v>
      </c>
      <c r="B133" s="7" t="str">
        <f aca="false">IFERROR(INDEX(Киты!$C:$C,MATCH(A133,Киты!$A:$A,0)),"")</f>
        <v>Hyundai Solaris 2017–2022</v>
      </c>
      <c r="C133" s="7" t="s">
        <v>338</v>
      </c>
      <c r="D133" s="14" t="n">
        <v>1</v>
      </c>
      <c r="E133" s="14" t="s">
        <v>309</v>
      </c>
      <c r="F133" s="14" t="s">
        <v>339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9" t="str">
        <f aca="false">IF(COUNT(G133:O133)=0,"",MIN(G133:O133))</f>
        <v/>
      </c>
      <c r="Q133" s="7" t="str">
        <f aca="false">IF(P133="","",INDEX($G$1:$O$1,MATCH(P133,G133:O133,0)))</f>
        <v/>
      </c>
      <c r="R133" s="9" t="n">
        <f aca="false">IF(P133="",0,P133*D133)</f>
        <v>0</v>
      </c>
      <c r="S133" s="8" t="s">
        <v>340</v>
      </c>
    </row>
    <row r="134" customFormat="false" ht="15" hidden="false" customHeight="false" outlineLevel="0" collapsed="false">
      <c r="A134" s="6" t="s">
        <v>156</v>
      </c>
      <c r="B134" s="7" t="str">
        <f aca="false">IFERROR(INDEX(Киты!$C:$C,MATCH(A134,Киты!$A:$A,0)),"")</f>
        <v>Hyundai Solaris 2017–2022</v>
      </c>
      <c r="C134" s="7" t="s">
        <v>341</v>
      </c>
      <c r="D134" s="14" t="n">
        <v>1</v>
      </c>
      <c r="E134" s="14"/>
      <c r="F134" s="14"/>
      <c r="G134" s="12"/>
      <c r="H134" s="12"/>
      <c r="I134" s="12"/>
      <c r="J134" s="12"/>
      <c r="K134" s="12"/>
      <c r="L134" s="12"/>
      <c r="M134" s="12"/>
      <c r="N134" s="12"/>
      <c r="O134" s="12"/>
      <c r="P134" s="9" t="str">
        <f aca="false">IF(COUNT(G134:O134)=0,"",MIN(G134:O134))</f>
        <v/>
      </c>
      <c r="Q134" s="7" t="str">
        <f aca="false">IF(P134="","",INDEX($G$1:$O$1,MATCH(P134,G134:O134,0)))</f>
        <v/>
      </c>
      <c r="R134" s="9" t="n">
        <f aca="false">IF(P134="",0,P134*D134)</f>
        <v>0</v>
      </c>
      <c r="S134" s="8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5" t="s">
        <v>343</v>
      </c>
      <c r="B1" s="5" t="s">
        <v>38</v>
      </c>
      <c r="C1" s="5" t="s">
        <v>344</v>
      </c>
      <c r="D1" s="5" t="s">
        <v>345</v>
      </c>
      <c r="E1" s="5" t="s">
        <v>346</v>
      </c>
      <c r="F1" s="5" t="s">
        <v>347</v>
      </c>
      <c r="G1" s="5" t="s">
        <v>348</v>
      </c>
      <c r="H1" s="5" t="s">
        <v>349</v>
      </c>
      <c r="I1" s="5" t="s">
        <v>350</v>
      </c>
      <c r="J1" s="5" t="s">
        <v>351</v>
      </c>
      <c r="K1" s="5" t="s">
        <v>171</v>
      </c>
    </row>
    <row r="2" customFormat="false" ht="15" hidden="false" customHeight="false" outlineLevel="0" collapsed="false">
      <c r="A2" s="15" t="s">
        <v>173</v>
      </c>
      <c r="B2" s="15" t="s">
        <v>352</v>
      </c>
      <c r="C2" s="15" t="s">
        <v>353</v>
      </c>
      <c r="D2" s="15" t="s">
        <v>354</v>
      </c>
      <c r="E2" s="15" t="n">
        <v>1</v>
      </c>
      <c r="F2" s="15" t="s">
        <v>355</v>
      </c>
      <c r="G2" s="15" t="s">
        <v>356</v>
      </c>
      <c r="H2" s="15" t="s">
        <v>357</v>
      </c>
      <c r="I2" s="15" t="s">
        <v>358</v>
      </c>
      <c r="J2" s="15" t="s">
        <v>359</v>
      </c>
      <c r="K2" s="15" t="s">
        <v>183</v>
      </c>
    </row>
    <row r="3" customFormat="false" ht="15" hidden="false" customHeight="false" outlineLevel="0" collapsed="false">
      <c r="A3" s="6" t="s">
        <v>285</v>
      </c>
      <c r="B3" s="14" t="s">
        <v>352</v>
      </c>
      <c r="C3" s="30"/>
      <c r="D3" s="30"/>
      <c r="E3" s="30"/>
      <c r="F3" s="30"/>
      <c r="G3" s="30"/>
      <c r="H3" s="30"/>
      <c r="I3" s="30"/>
      <c r="J3" s="30"/>
      <c r="K3" s="30"/>
    </row>
    <row r="4" customFormat="false" ht="15" hidden="false" customHeight="false" outlineLevel="0" collapsed="false">
      <c r="A4" s="6" t="s">
        <v>286</v>
      </c>
      <c r="B4" s="14" t="s">
        <v>352</v>
      </c>
      <c r="C4" s="30"/>
      <c r="D4" s="30"/>
      <c r="E4" s="30"/>
      <c r="F4" s="30"/>
      <c r="G4" s="30"/>
      <c r="H4" s="30"/>
      <c r="I4" s="30"/>
      <c r="J4" s="30"/>
      <c r="K4" s="30"/>
    </row>
    <row r="5" customFormat="false" ht="15" hidden="false" customHeight="false" outlineLevel="0" collapsed="false">
      <c r="A5" s="6" t="s">
        <v>287</v>
      </c>
      <c r="B5" s="14" t="s">
        <v>352</v>
      </c>
      <c r="C5" s="30"/>
      <c r="D5" s="30"/>
      <c r="E5" s="30"/>
      <c r="F5" s="30"/>
      <c r="G5" s="30"/>
      <c r="H5" s="30"/>
      <c r="I5" s="30"/>
      <c r="J5" s="30"/>
      <c r="K5" s="30"/>
    </row>
    <row r="6" customFormat="false" ht="15" hidden="false" customHeight="false" outlineLevel="0" collapsed="false">
      <c r="A6" s="6" t="s">
        <v>288</v>
      </c>
      <c r="B6" s="14" t="s">
        <v>352</v>
      </c>
      <c r="C6" s="30"/>
      <c r="D6" s="30"/>
      <c r="E6" s="30"/>
      <c r="F6" s="30"/>
      <c r="G6" s="30"/>
      <c r="H6" s="30"/>
      <c r="I6" s="30"/>
      <c r="J6" s="30"/>
      <c r="K6" s="30"/>
    </row>
    <row r="7" customFormat="false" ht="15" hidden="false" customHeight="false" outlineLevel="0" collapsed="false">
      <c r="A7" s="6" t="s">
        <v>289</v>
      </c>
      <c r="B7" s="14" t="s">
        <v>352</v>
      </c>
      <c r="C7" s="30"/>
      <c r="D7" s="30"/>
      <c r="E7" s="30"/>
      <c r="F7" s="30"/>
      <c r="G7" s="30"/>
      <c r="H7" s="30"/>
      <c r="I7" s="30"/>
      <c r="J7" s="30"/>
      <c r="K7" s="30"/>
    </row>
    <row r="8" customFormat="false" ht="15" hidden="false" customHeight="false" outlineLevel="0" collapsed="false">
      <c r="A8" s="6" t="s">
        <v>290</v>
      </c>
      <c r="B8" s="14" t="s">
        <v>352</v>
      </c>
      <c r="C8" s="30"/>
      <c r="D8" s="30"/>
      <c r="E8" s="30"/>
      <c r="F8" s="30"/>
      <c r="G8" s="30"/>
      <c r="H8" s="30"/>
      <c r="I8" s="30"/>
      <c r="J8" s="30"/>
      <c r="K8" s="30"/>
    </row>
    <row r="9" customFormat="false" ht="15" hidden="false" customHeight="false" outlineLevel="0" collapsed="false">
      <c r="A9" s="6" t="s">
        <v>291</v>
      </c>
      <c r="B9" s="14" t="s">
        <v>360</v>
      </c>
      <c r="C9" s="30"/>
      <c r="D9" s="30"/>
      <c r="E9" s="30"/>
      <c r="F9" s="30"/>
      <c r="G9" s="30"/>
      <c r="H9" s="30"/>
      <c r="I9" s="30"/>
      <c r="J9" s="30"/>
      <c r="K9" s="30"/>
    </row>
    <row r="10" customFormat="false" ht="15" hidden="false" customHeight="false" outlineLevel="0" collapsed="false">
      <c r="A10" s="6" t="s">
        <v>292</v>
      </c>
      <c r="B10" s="14" t="s">
        <v>352</v>
      </c>
      <c r="C10" s="30"/>
      <c r="D10" s="30"/>
      <c r="E10" s="30"/>
      <c r="F10" s="30"/>
      <c r="G10" s="30"/>
      <c r="H10" s="30"/>
      <c r="I10" s="30"/>
      <c r="J10" s="30"/>
      <c r="K10" s="30"/>
    </row>
    <row r="11" customFormat="false" ht="15" hidden="false" customHeight="false" outlineLevel="0" collapsed="false">
      <c r="A11" s="6" t="s">
        <v>293</v>
      </c>
      <c r="B11" s="14" t="s">
        <v>352</v>
      </c>
      <c r="C11" s="30"/>
      <c r="D11" s="30"/>
      <c r="E11" s="30"/>
      <c r="F11" s="30"/>
      <c r="G11" s="30"/>
      <c r="H11" s="30"/>
      <c r="I11" s="30"/>
      <c r="J11" s="30"/>
      <c r="K11" s="30"/>
    </row>
  </sheetData>
  <dataValidations count="1">
    <dataValidation allowBlank="true" errorStyle="stop" operator="between" showDropDown="false" showErrorMessage="false" showInputMessage="false" sqref="B3:B11" type="list">
      <formula1>"подключён,в процессе,нет"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5" t="s">
        <v>17</v>
      </c>
      <c r="B1" s="5" t="s">
        <v>361</v>
      </c>
      <c r="C1" s="5" t="s">
        <v>18</v>
      </c>
      <c r="D1" s="5" t="s">
        <v>19</v>
      </c>
      <c r="E1" s="5" t="s">
        <v>362</v>
      </c>
      <c r="F1" s="5" t="s">
        <v>363</v>
      </c>
      <c r="G1" s="5" t="s">
        <v>364</v>
      </c>
    </row>
    <row r="2" customFormat="false" ht="23.85" hidden="false" customHeight="false" outlineLevel="0" collapsed="false">
      <c r="A2" s="8" t="s">
        <v>365</v>
      </c>
      <c r="B2" s="8" t="s">
        <v>366</v>
      </c>
      <c r="C2" s="8" t="s">
        <v>367</v>
      </c>
      <c r="D2" s="8" t="s">
        <v>44</v>
      </c>
      <c r="E2" s="8" t="s">
        <v>368</v>
      </c>
      <c r="F2" s="8" t="s">
        <v>369</v>
      </c>
      <c r="G2" s="8" t="s">
        <v>370</v>
      </c>
    </row>
    <row r="3" customFormat="false" ht="23.85" hidden="false" customHeight="false" outlineLevel="0" collapsed="false">
      <c r="A3" s="8" t="s">
        <v>365</v>
      </c>
      <c r="B3" s="8" t="s">
        <v>371</v>
      </c>
      <c r="C3" s="8" t="s">
        <v>372</v>
      </c>
      <c r="D3" s="8" t="s">
        <v>44</v>
      </c>
      <c r="E3" s="8" t="s">
        <v>368</v>
      </c>
      <c r="F3" s="8" t="s">
        <v>373</v>
      </c>
      <c r="G3" s="8" t="s">
        <v>374</v>
      </c>
    </row>
    <row r="4" customFormat="false" ht="23.85" hidden="false" customHeight="false" outlineLevel="0" collapsed="false">
      <c r="A4" s="8" t="s">
        <v>375</v>
      </c>
      <c r="B4" s="8" t="s">
        <v>376</v>
      </c>
      <c r="C4" s="8" t="s">
        <v>377</v>
      </c>
      <c r="D4" s="8" t="s">
        <v>44</v>
      </c>
      <c r="E4" s="8" t="s">
        <v>368</v>
      </c>
      <c r="F4" s="8" t="s">
        <v>378</v>
      </c>
      <c r="G4" s="8" t="s">
        <v>374</v>
      </c>
    </row>
    <row r="5" customFormat="false" ht="15" hidden="false" customHeight="false" outlineLevel="0" collapsed="false">
      <c r="A5" s="8" t="s">
        <v>379</v>
      </c>
      <c r="B5" s="8" t="s">
        <v>380</v>
      </c>
      <c r="C5" s="8" t="s">
        <v>381</v>
      </c>
      <c r="D5" s="8" t="s">
        <v>70</v>
      </c>
      <c r="E5" s="8" t="s">
        <v>382</v>
      </c>
      <c r="F5" s="8" t="s">
        <v>378</v>
      </c>
      <c r="G5" s="8" t="s">
        <v>374</v>
      </c>
    </row>
    <row r="6" customFormat="false" ht="23.85" hidden="false" customHeight="false" outlineLevel="0" collapsed="false">
      <c r="A6" s="8" t="s">
        <v>383</v>
      </c>
      <c r="B6" s="8" t="s">
        <v>384</v>
      </c>
      <c r="C6" s="8" t="s">
        <v>385</v>
      </c>
      <c r="D6" s="8" t="s">
        <v>44</v>
      </c>
      <c r="E6" s="8" t="s">
        <v>368</v>
      </c>
      <c r="F6" s="8" t="s">
        <v>386</v>
      </c>
      <c r="G6" s="8" t="s">
        <v>387</v>
      </c>
    </row>
    <row r="7" customFormat="false" ht="23.85" hidden="false" customHeight="false" outlineLevel="0" collapsed="false">
      <c r="A7" s="8" t="s">
        <v>388</v>
      </c>
      <c r="B7" s="8" t="s">
        <v>389</v>
      </c>
      <c r="C7" s="8" t="s">
        <v>390</v>
      </c>
      <c r="D7" s="8" t="s">
        <v>44</v>
      </c>
      <c r="E7" s="8" t="s">
        <v>368</v>
      </c>
      <c r="F7" s="8" t="s">
        <v>386</v>
      </c>
      <c r="G7" s="8" t="s">
        <v>391</v>
      </c>
    </row>
    <row r="8" customFormat="false" ht="23.85" hidden="false" customHeight="false" outlineLevel="0" collapsed="false">
      <c r="A8" s="8" t="s">
        <v>392</v>
      </c>
      <c r="B8" s="8" t="s">
        <v>393</v>
      </c>
      <c r="C8" s="8" t="s">
        <v>394</v>
      </c>
      <c r="D8" s="8" t="s">
        <v>44</v>
      </c>
      <c r="E8" s="8" t="s">
        <v>368</v>
      </c>
      <c r="F8" s="8" t="s">
        <v>386</v>
      </c>
      <c r="G8" s="8" t="s">
        <v>395</v>
      </c>
    </row>
    <row r="9" customFormat="false" ht="23.85" hidden="false" customHeight="false" outlineLevel="0" collapsed="false">
      <c r="A9" s="8" t="s">
        <v>396</v>
      </c>
      <c r="B9" s="8" t="s">
        <v>393</v>
      </c>
      <c r="C9" s="8" t="s">
        <v>397</v>
      </c>
      <c r="D9" s="8" t="s">
        <v>100</v>
      </c>
      <c r="E9" s="8" t="s">
        <v>398</v>
      </c>
      <c r="F9" s="8" t="s">
        <v>386</v>
      </c>
      <c r="G9" s="8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2026-09-27T21:24:16Z</dcterms:created>
  <dc:creator>openpyxl</dc:creator>
  <dc:description/>
  <dc:language>en-US</dc:language>
  <cp:lastModifiedBy/>
  <dcterms:modified xsi:type="dcterms:W3CDTF">2026-09-27T21:24:16Z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