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араметры" sheetId="3" state="visible" r:id="rId5"/>
    <sheet name="Состав" sheetId="4" state="visible" r:id="rId6"/>
    <sheet name="Поставщики" sheetId="5" state="visible" r:id="rId7"/>
    <sheet name="Моторы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N1" authorId="0">
      <text>
        <r>
          <rPr>
            <sz val="10"/>
            <rFont val="Arial"/>
            <family val="2"/>
          </rPr>
          <t xml:space="preserve">Прибыль до налога: цена − закупка − комиссия Авито − просмотры (см. «Параметры»).</t>
        </r>
      </text>
    </comment>
  </commentList>
</comments>
</file>

<file path=xl/sharedStrings.xml><?xml version="1.0" encoding="utf-8"?>
<sst xmlns="http://schemas.openxmlformats.org/spreadsheetml/2006/main" count="713" uniqueCount="265">
  <si>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</si>
  <si>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</si>
  <si>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</si>
  <si>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</si>
  <si>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</si>
  <si>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прибыль. Впишите минимальную цену конкурентов — появится сравнение.</t>
  </si>
  <si>
    <t xml:space="preserve">4. «Параметры» — наценка, упаковка, комиссия Авито. Поменяете там — пересчитается всё.</t>
  </si>
  <si>
    <t xml:space="preserve">5.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</si>
  <si>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</si>
  <si>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</si>
  <si>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</si>
  <si>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</si>
  <si>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</si>
  <si>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</si>
  <si>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</si>
  <si>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</si>
  <si>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</si>
  <si>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</si>
  <si>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</si>
  <si>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</si>
  <si>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Закупка, ₽</t>
  </si>
  <si>
    <t xml:space="preserve">Позиций без цены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</si>
  <si>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</si>
  <si>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</si>
  <si>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</si>
  <si>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Прибыль с кита, ₽</t>
  </si>
  <si>
    <t xml:space="preserve">Маржа</t>
  </si>
  <si>
    <t xml:space="preserve">Статус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</si>
  <si>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</si>
  <si>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</si>
  <si>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</si>
  <si>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</si>
  <si>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</si>
  <si>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</si>
  <si>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</si>
  <si>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</si>
  <si>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</si>
  <si>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</si>
  <si>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</si>
  <si>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</si>
  <si>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</si>
  <si>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</si>
  <si>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</si>
  <si>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</si>
  <si>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</si>
  <si>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</si>
  <si>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</si>
  <si>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</si>
  <si>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</si>
  <si>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</si>
  <si>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</si>
  <si>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</si>
  <si>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</si>
  <si>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</si>
  <si>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</si>
  <si>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</si>
  <si>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</si>
  <si>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</si>
  <si>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</si>
  <si>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</si>
  <si>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</si>
  <si>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</si>
  <si>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</si>
  <si>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</si>
  <si>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</si>
  <si>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</si>
  <si>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</si>
  <si>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</si>
  <si>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</si>
  <si>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</si>
  <si>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</si>
  <si>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</si>
  <si>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</si>
  <si>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</si>
  <si>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</si>
  <si>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</si>
  <si>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</si>
  <si>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</si>
  <si>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</si>
  <si>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</si>
  <si>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</si>
  <si>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</si>
  <si>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</si>
  <si>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</si>
  <si>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</si>
  <si>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</si>
  <si>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</si>
  <si>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</si>
  <si>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</si>
  <si>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</si>
  <si>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</si>
  <si>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</si>
  <si>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</si>
  <si>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</si>
  <si>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</si>
  <si>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</si>
  <si>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</si>
  <si>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</si>
  <si>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</si>
  <si>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</si>
  <si>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</si>
  <si>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</si>
  <si>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</si>
  <si>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</si>
  <si>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</si>
  <si>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</si>
  <si>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</si>
  <si>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</si>
  <si>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</si>
  <si>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</si>
  <si>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</si>
  <si>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</si>
  <si>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</si>
  <si>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</si>
  <si>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</si>
  <si>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</si>
  <si>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</si>
  <si>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</si>
  <si>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</si>
  <si>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</si>
  <si>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</si>
  <si>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</si>
  <si>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</si>
  <si>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</si>
  <si>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</si>
  <si>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</si>
  <si>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</si>
  <si>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</si>
  <si>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</si>
  <si>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</si>
  <si>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</si>
  <si>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</si>
  <si>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</si>
  <si>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</si>
  <si>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</si>
  <si>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</si>
  <si>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</si>
  <si>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Geely Coolray 1.5T: 2 ремня и ролик</t>
  </si>
  <si>
    <t xml:space="preserve">grm-12-coolray-1-main.png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</si>
  <si>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</si>
  <si>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</si>
  <si>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</si>
  <si>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</si>
  <si>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закупка × (1 + наценка), вверх до шага округления, минус «вычесть». Ваше решение, можно менять.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</si>
  <si>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</si>
  <si>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</si>
  <si>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</si>
  <si>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</si>
  <si>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</si>
  <si>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</si>
  <si>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</si>
  <si>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≈6,5% для профессиональных продавцов по данным селлерских сервисов (SelSup, 2026). Сверьте ставку в кабинете Авито.</t>
  </si>
  <si>
    <t xml:space="preserve">Расход на просмотры на 1 заказ, ₽</t>
  </si>
  <si>
    <t xml:space="preserve">Оценка: ≈150 просмотров × 1,2 ₽. После запуска замените на своё значение из статистики Авито.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</si>
  <si>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</si>
  <si>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</si>
  <si>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</si>
  <si>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</si>
  <si>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</si>
  <si>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</si>
  <si>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</si>
  <si>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</si>
  <si>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</si>
  <si>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</si>
  <si>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</si>
  <si>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</si>
  <si>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</si>
  <si>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</si>
  <si>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</si>
  <si>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</si>
  <si>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</si>
  <si>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</si>
  <si>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</si>
  <si>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</si>
  <si>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</si>
  <si>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</si>
  <si>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</si>
  <si>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</si>
  <si>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</si>
  <si>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</si>
  <si>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</si>
  <si>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</si>
  <si>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</si>
  <si>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</si>
  <si>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</si>
  <si>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</si>
  <si>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</si>
  <si>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</si>
  <si>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</si>
  <si>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</si>
  <si>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</si>
  <si>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</si>
  <si>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</si>
  <si>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</si>
  <si>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</si>
  <si>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</si>
  <si>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</si>
  <si>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</si>
  <si>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</si>
  <si>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</si>
  <si>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</si>
  <si>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</si>
  <si>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</si>
  <si>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</si>
  <si>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</si>
  <si>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</si>
  <si>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Ремень привода помпы</t>
  </si>
  <si>
    <t xml:space="preserve">По регламенту меняется вместе с ремнём ГРМ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</si>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</sst>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₽&quot;;\-#,##0&quot; ₽&quot;;\-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14"/>
  </cols>
  <sheetData>
    <row r="1" customFormat="false" ht="31.5" hidden="false" customHeight="tru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</row>
    <row r="2" customFormat="false" ht="15" hidden="false" customHeight="false" outlineLevel="0" collapsed="false">
      <c r="A2" s="6" t="s">
        <v>28</v>
      </c>
      <c r="B2" s="7" t="s">
        <v>29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7" t="s">
        <v>35</v>
      </c>
      <c r="I2" s="9" t="str">
        <f aca="false">IF(SUMIFS(Состав!$R:$R,Состав!$A:$A,A2)=0,"",SUMIFS(Состав!$R:$R,Состав!$A:$A,A2)+Параметры!$B$3)</f>
        <v/>
      </c>
      <c r="J2" s="10" t="n">
        <f aca="false">COUNTIFS(Состав!$A:$A,A2,Состав!$P:$P,"",Состав!$D:$D,"&gt;0")</f>
        <v>5</v>
      </c>
      <c r="K2" s="11" t="str">
        <f aca="false">IF(I2="","",CEILING(I2*(1+Параметры!$B$2),Параметры!$B$4)-Параметры!$B$5)</f>
        <v/>
      </c>
      <c r="L2" s="12"/>
      <c r="M2" s="7" t="str">
        <f aca="false">IF(OR(K2="",L2=""),"",IF(K2&lt;=L2,"не дороже рынка","дороже рынка"))</f>
        <v/>
      </c>
      <c r="N2" s="9" t="str">
        <f aca="false">IF(K2="","",K2-I2-K2*Параметры!$B$6-Параметры!$B$7)</f>
        <v/>
      </c>
      <c r="O2" s="13" t="str">
        <f aca="false">IF(N2="","",N2/K2)</f>
        <v/>
      </c>
      <c r="P2" s="14" t="s">
        <v>36</v>
      </c>
    </row>
    <row r="3" customFormat="false" ht="15" hidden="false" customHeight="false" outlineLevel="0" collapsed="false">
      <c r="A3" s="6" t="s">
        <v>37</v>
      </c>
      <c r="B3" s="7" t="s">
        <v>29</v>
      </c>
      <c r="C3" s="7" t="s">
        <v>38</v>
      </c>
      <c r="D3" s="7" t="s">
        <v>39</v>
      </c>
      <c r="E3" s="7" t="s">
        <v>32</v>
      </c>
      <c r="F3" s="7" t="s">
        <v>33</v>
      </c>
      <c r="G3" s="8" t="s">
        <v>40</v>
      </c>
      <c r="H3" s="7" t="s">
        <v>41</v>
      </c>
      <c r="I3" s="9" t="str">
        <f aca="false">IF(SUMIFS(Состав!$R:$R,Состав!$A:$A,A3)=0,"",SUMIFS(Состав!$R:$R,Состав!$A:$A,A3)+Параметры!$B$3)</f>
        <v/>
      </c>
      <c r="J3" s="10" t="n">
        <f aca="false">COUNTIFS(Состав!$A:$A,A3,Состав!$P:$P,"",Состав!$D:$D,"&gt;0")</f>
        <v>5</v>
      </c>
      <c r="K3" s="11" t="str">
        <f aca="false">IF(I3="","",CEILING(I3*(1+Параметры!$B$2),Параметры!$B$4)-Параметры!$B$5)</f>
        <v/>
      </c>
      <c r="L3" s="12"/>
      <c r="M3" s="7" t="str">
        <f aca="false">IF(OR(K3="",L3=""),"",IF(K3&lt;=L3,"не дороже рынка","дороже рынка"))</f>
        <v/>
      </c>
      <c r="N3" s="9" t="str">
        <f aca="false">IF(K3="","",K3-I3-K3*Параметры!$B$6-Параметры!$B$7)</f>
        <v/>
      </c>
      <c r="O3" s="13" t="str">
        <f aca="false">IF(N3="","",N3/K3)</f>
        <v/>
      </c>
      <c r="P3" s="14" t="s">
        <v>36</v>
      </c>
    </row>
    <row r="4" customFormat="false" ht="15" hidden="false" customHeight="false" outlineLevel="0" collapsed="false">
      <c r="A4" s="6" t="s">
        <v>42</v>
      </c>
      <c r="B4" s="7" t="s">
        <v>29</v>
      </c>
      <c r="C4" s="7" t="s">
        <v>43</v>
      </c>
      <c r="D4" s="7" t="s">
        <v>31</v>
      </c>
      <c r="E4" s="7" t="s">
        <v>32</v>
      </c>
      <c r="F4" s="7" t="s">
        <v>33</v>
      </c>
      <c r="G4" s="8" t="s">
        <v>44</v>
      </c>
      <c r="H4" s="7" t="s">
        <v>45</v>
      </c>
      <c r="I4" s="9" t="str">
        <f aca="false">IF(SUMIFS(Состав!$R:$R,Состав!$A:$A,A4)=0,"",SUMIFS(Состав!$R:$R,Состав!$A:$A,A4)+Параметры!$B$3)</f>
        <v/>
      </c>
      <c r="J4" s="10" t="n">
        <f aca="false">COUNTIFS(Состав!$A:$A,A4,Состав!$P:$P,"",Состав!$D:$D,"&gt;0")</f>
        <v>5</v>
      </c>
      <c r="K4" s="11" t="str">
        <f aca="false">IF(I4="","",CEILING(I4*(1+Параметры!$B$2),Параметры!$B$4)-Параметры!$B$5)</f>
        <v/>
      </c>
      <c r="L4" s="12"/>
      <c r="M4" s="7" t="str">
        <f aca="false">IF(OR(K4="",L4=""),"",IF(K4&lt;=L4,"не дороже рынка","дороже рынка"))</f>
        <v/>
      </c>
      <c r="N4" s="9" t="str">
        <f aca="false">IF(K4="","",K4-I4-K4*Параметры!$B$6-Параметры!$B$7)</f>
        <v/>
      </c>
      <c r="O4" s="13" t="str">
        <f aca="false">IF(N4="","",N4/K4)</f>
        <v/>
      </c>
      <c r="P4" s="14" t="s">
        <v>36</v>
      </c>
    </row>
    <row r="5" customFormat="false" ht="15" hidden="false" customHeight="false" outlineLevel="0" collapsed="false">
      <c r="A5" s="6" t="s">
        <v>46</v>
      </c>
      <c r="B5" s="7" t="s">
        <v>29</v>
      </c>
      <c r="C5" s="7" t="s">
        <v>47</v>
      </c>
      <c r="D5" s="7" t="s">
        <v>39</v>
      </c>
      <c r="E5" s="7" t="s">
        <v>32</v>
      </c>
      <c r="F5" s="7" t="s">
        <v>33</v>
      </c>
      <c r="G5" s="8" t="s">
        <v>48</v>
      </c>
      <c r="H5" s="7" t="s">
        <v>49</v>
      </c>
      <c r="I5" s="9" t="str">
        <f aca="false">IF(SUMIFS(Состав!$R:$R,Состав!$A:$A,A5)=0,"",SUMIFS(Состав!$R:$R,Состав!$A:$A,A5)+Параметры!$B$3)</f>
        <v/>
      </c>
      <c r="J5" s="10" t="n">
        <f aca="false">COUNTIFS(Состав!$A:$A,A5,Состав!$P:$P,"",Состав!$D:$D,"&gt;0")</f>
        <v>5</v>
      </c>
      <c r="K5" s="11" t="str">
        <f aca="false">IF(I5="","",CEILING(I5*(1+Параметры!$B$2),Параметры!$B$4)-Параметры!$B$5)</f>
        <v/>
      </c>
      <c r="L5" s="12"/>
      <c r="M5" s="7" t="str">
        <f aca="false">IF(OR(K5="",L5=""),"",IF(K5&lt;=L5,"не дороже рынка","дороже рынка"))</f>
        <v/>
      </c>
      <c r="N5" s="9" t="str">
        <f aca="false">IF(K5="","",K5-I5-K5*Параметры!$B$6-Параметры!$B$7)</f>
        <v/>
      </c>
      <c r="O5" s="13" t="str">
        <f aca="false">IF(N5="","",N5/K5)</f>
        <v/>
      </c>
      <c r="P5" s="14" t="s">
        <v>36</v>
      </c>
    </row>
    <row r="6" customFormat="false" ht="15" hidden="false" customHeight="false" outlineLevel="0" collapsed="false">
      <c r="A6" s="6" t="s">
        <v>50</v>
      </c>
      <c r="B6" s="7" t="s">
        <v>29</v>
      </c>
      <c r="C6" s="7" t="s">
        <v>51</v>
      </c>
      <c r="D6" s="7" t="s">
        <v>52</v>
      </c>
      <c r="E6" s="7" t="s">
        <v>32</v>
      </c>
      <c r="F6" s="7" t="s">
        <v>33</v>
      </c>
      <c r="G6" s="8" t="s">
        <v>53</v>
      </c>
      <c r="H6" s="7" t="s">
        <v>54</v>
      </c>
      <c r="I6" s="9" t="str">
        <f aca="false">IF(SUMIFS(Состав!$R:$R,Состав!$A:$A,A6)=0,"",SUMIFS(Состав!$R:$R,Состав!$A:$A,A6)+Параметры!$B$3)</f>
        <v/>
      </c>
      <c r="J6" s="10" t="n">
        <f aca="false">COUNTIFS(Состав!$A:$A,A6,Состав!$P:$P,"",Состав!$D:$D,"&gt;0")</f>
        <v>5</v>
      </c>
      <c r="K6" s="11" t="str">
        <f aca="false">IF(I6="","",CEILING(I6*(1+Параметры!$B$2),Параметры!$B$4)-Параметры!$B$5)</f>
        <v/>
      </c>
      <c r="L6" s="12"/>
      <c r="M6" s="7" t="str">
        <f aca="false">IF(OR(K6="",L6=""),"",IF(K6&lt;=L6,"не дороже рынка","дороже рынка"))</f>
        <v/>
      </c>
      <c r="N6" s="9" t="str">
        <f aca="false">IF(K6="","",K6-I6-K6*Параметры!$B$6-Параметры!$B$7)</f>
        <v/>
      </c>
      <c r="O6" s="13" t="str">
        <f aca="false">IF(N6="","",N6/K6)</f>
        <v/>
      </c>
      <c r="P6" s="14" t="s">
        <v>36</v>
      </c>
    </row>
    <row r="7" customFormat="false" ht="15" hidden="false" customHeight="false" outlineLevel="0" collapsed="false">
      <c r="A7" s="6" t="s">
        <v>55</v>
      </c>
      <c r="B7" s="7" t="s">
        <v>29</v>
      </c>
      <c r="C7" s="7" t="s">
        <v>56</v>
      </c>
      <c r="D7" s="7" t="s">
        <v>57</v>
      </c>
      <c r="E7" s="7" t="s">
        <v>58</v>
      </c>
      <c r="F7" s="7" t="s">
        <v>33</v>
      </c>
      <c r="G7" s="8" t="s">
        <v>59</v>
      </c>
      <c r="H7" s="7" t="s">
        <v>60</v>
      </c>
      <c r="I7" s="9" t="str">
        <f aca="false">IF(SUMIFS(Состав!$R:$R,Состав!$A:$A,A7)=0,"",SUMIFS(Состав!$R:$R,Состав!$A:$A,A7)+Параметры!$B$3)</f>
        <v/>
      </c>
      <c r="J7" s="10" t="n">
        <f aca="false">COUNTIFS(Состав!$A:$A,A7,Состав!$P:$P,"",Состав!$D:$D,"&gt;0")</f>
        <v>5</v>
      </c>
      <c r="K7" s="11" t="str">
        <f aca="false">IF(I7="","",CEILING(I7*(1+Параметры!$B$2),Параметры!$B$4)-Параметры!$B$5)</f>
        <v/>
      </c>
      <c r="L7" s="12"/>
      <c r="M7" s="7" t="str">
        <f aca="false">IF(OR(K7="",L7=""),"",IF(K7&lt;=L7,"не дороже рынка","дороже рынка"))</f>
        <v/>
      </c>
      <c r="N7" s="9" t="str">
        <f aca="false">IF(K7="","",K7-I7-K7*Параметры!$B$6-Параметры!$B$7)</f>
        <v/>
      </c>
      <c r="O7" s="13" t="str">
        <f aca="false">IF(N7="","",N7/K7)</f>
        <v/>
      </c>
      <c r="P7" s="14" t="s">
        <v>36</v>
      </c>
    </row>
    <row r="8" customFormat="false" ht="15" hidden="false" customHeight="false" outlineLevel="0" collapsed="false">
      <c r="A8" s="6" t="s">
        <v>61</v>
      </c>
      <c r="B8" s="7" t="s">
        <v>29</v>
      </c>
      <c r="C8" s="7" t="s">
        <v>62</v>
      </c>
      <c r="D8" s="7" t="s">
        <v>63</v>
      </c>
      <c r="E8" s="7" t="s">
        <v>32</v>
      </c>
      <c r="F8" s="7" t="s">
        <v>33</v>
      </c>
      <c r="G8" s="8" t="s">
        <v>64</v>
      </c>
      <c r="H8" s="7" t="s">
        <v>65</v>
      </c>
      <c r="I8" s="9" t="str">
        <f aca="false">IF(SUMIFS(Состав!$R:$R,Состав!$A:$A,A8)=0,"",SUMIFS(Состав!$R:$R,Состав!$A:$A,A8)+Параметры!$B$3)</f>
        <v/>
      </c>
      <c r="J8" s="10" t="n">
        <f aca="false">COUNTIFS(Состав!$A:$A,A8,Состав!$P:$P,"",Состав!$D:$D,"&gt;0")</f>
        <v>5</v>
      </c>
      <c r="K8" s="11" t="str">
        <f aca="false">IF(I8="","",CEILING(I8*(1+Параметры!$B$2),Параметры!$B$4)-Параметры!$B$5)</f>
        <v/>
      </c>
      <c r="L8" s="12"/>
      <c r="M8" s="7" t="str">
        <f aca="false">IF(OR(K8="",L8=""),"",IF(K8&lt;=L8,"не дороже рынка","дороже рынка"))</f>
        <v/>
      </c>
      <c r="N8" s="9" t="str">
        <f aca="false">IF(K8="","",K8-I8-K8*Параметры!$B$6-Параметры!$B$7)</f>
        <v/>
      </c>
      <c r="O8" s="13" t="str">
        <f aca="false">IF(N8="","",N8/K8)</f>
        <v/>
      </c>
      <c r="P8" s="14" t="s">
        <v>36</v>
      </c>
    </row>
    <row r="9" customFormat="false" ht="15" hidden="false" customHeight="false" outlineLevel="0" collapsed="false">
      <c r="A9" s="6" t="s">
        <v>66</v>
      </c>
      <c r="B9" s="7" t="s">
        <v>29</v>
      </c>
      <c r="C9" s="7" t="s">
        <v>67</v>
      </c>
      <c r="D9" s="7" t="s">
        <v>68</v>
      </c>
      <c r="E9" s="7" t="s">
        <v>32</v>
      </c>
      <c r="F9" s="7" t="s">
        <v>33</v>
      </c>
      <c r="G9" s="8" t="s">
        <v>69</v>
      </c>
      <c r="H9" s="7" t="s">
        <v>70</v>
      </c>
      <c r="I9" s="9" t="str">
        <f aca="false">IF(SUMIFS(Состав!$R:$R,Состав!$A:$A,A9)=0,"",SUMIFS(Состав!$R:$R,Состав!$A:$A,A9)+Параметры!$B$3)</f>
        <v/>
      </c>
      <c r="J9" s="10" t="n">
        <f aca="false">COUNTIFS(Состав!$A:$A,A9,Состав!$P:$P,"",Состав!$D:$D,"&gt;0")</f>
        <v>5</v>
      </c>
      <c r="K9" s="11" t="str">
        <f aca="false">IF(I9="","",CEILING(I9*(1+Параметры!$B$2),Параметры!$B$4)-Параметры!$B$5)</f>
        <v/>
      </c>
      <c r="L9" s="12"/>
      <c r="M9" s="7" t="str">
        <f aca="false">IF(OR(K9="",L9=""),"",IF(K9&lt;=L9,"не дороже рынка","дороже рынка"))</f>
        <v/>
      </c>
      <c r="N9" s="9" t="str">
        <f aca="false">IF(K9="","",K9-I9-K9*Параметры!$B$6-Параметры!$B$7)</f>
        <v/>
      </c>
      <c r="O9" s="13" t="str">
        <f aca="false">IF(N9="","",N9/K9)</f>
        <v/>
      </c>
      <c r="P9" s="14" t="s">
        <v>36</v>
      </c>
    </row>
    <row r="10" customFormat="false" ht="15" hidden="false" customHeight="false" outlineLevel="0" collapsed="false">
      <c r="A10" s="6" t="s">
        <v>71</v>
      </c>
      <c r="B10" s="7" t="s">
        <v>29</v>
      </c>
      <c r="C10" s="7" t="s">
        <v>72</v>
      </c>
      <c r="D10" s="7" t="s">
        <v>73</v>
      </c>
      <c r="E10" s="7" t="s">
        <v>32</v>
      </c>
      <c r="F10" s="7" t="s">
        <v>33</v>
      </c>
      <c r="G10" s="8" t="s">
        <v>74</v>
      </c>
      <c r="H10" s="7" t="s">
        <v>75</v>
      </c>
      <c r="I10" s="9" t="str">
        <f aca="false">IF(SUMIFS(Состав!$R:$R,Состав!$A:$A,A10)=0,"",SUMIFS(Состав!$R:$R,Состав!$A:$A,A10)+Параметры!$B$3)</f>
        <v/>
      </c>
      <c r="J10" s="10" t="n">
        <f aca="false">COUNTIFS(Состав!$A:$A,A10,Состав!$P:$P,"",Состав!$D:$D,"&gt;0")</f>
        <v>5</v>
      </c>
      <c r="K10" s="11" t="str">
        <f aca="false">IF(I10="","",CEILING(I10*(1+Параметры!$B$2),Параметры!$B$4)-Параметры!$B$5)</f>
        <v/>
      </c>
      <c r="L10" s="12"/>
      <c r="M10" s="7" t="str">
        <f aca="false">IF(OR(K10="",L10=""),"",IF(K10&lt;=L10,"не дороже рынка","дороже рынка"))</f>
        <v/>
      </c>
      <c r="N10" s="9" t="str">
        <f aca="false">IF(K10="","",K10-I10-K10*Параметры!$B$6-Параметры!$B$7)</f>
        <v/>
      </c>
      <c r="O10" s="13" t="str">
        <f aca="false">IF(N10="","",N10/K10)</f>
        <v/>
      </c>
      <c r="P10" s="14" t="s">
        <v>36</v>
      </c>
    </row>
    <row r="11" customFormat="false" ht="15" hidden="false" customHeight="false" outlineLevel="0" collapsed="false">
      <c r="A11" s="6" t="s">
        <v>76</v>
      </c>
      <c r="B11" s="7" t="s">
        <v>29</v>
      </c>
      <c r="C11" s="7" t="s">
        <v>77</v>
      </c>
      <c r="D11" s="7" t="s">
        <v>78</v>
      </c>
      <c r="E11" s="7" t="s">
        <v>32</v>
      </c>
      <c r="F11" s="7" t="s">
        <v>33</v>
      </c>
      <c r="G11" s="8" t="s">
        <v>79</v>
      </c>
      <c r="H11" s="7" t="s">
        <v>80</v>
      </c>
      <c r="I11" s="9" t="str">
        <f aca="false">IF(SUMIFS(Состав!$R:$R,Состав!$A:$A,A11)=0,"",SUMIFS(Состав!$R:$R,Состав!$A:$A,A11)+Параметры!$B$3)</f>
        <v/>
      </c>
      <c r="J11" s="10" t="n">
        <f aca="false">COUNTIFS(Состав!$A:$A,A11,Состав!$P:$P,"",Состав!$D:$D,"&gt;0")</f>
        <v>5</v>
      </c>
      <c r="K11" s="11" t="str">
        <f aca="false">IF(I11="","",CEILING(I11*(1+Параметры!$B$2),Параметры!$B$4)-Параметры!$B$5)</f>
        <v/>
      </c>
      <c r="L11" s="12"/>
      <c r="M11" s="7" t="str">
        <f aca="false">IF(OR(K11="",L11=""),"",IF(K11&lt;=L11,"не дороже рынка","дороже рынка"))</f>
        <v/>
      </c>
      <c r="N11" s="9" t="str">
        <f aca="false">IF(K11="","",K11-I11-K11*Параметры!$B$6-Параметры!$B$7)</f>
        <v/>
      </c>
      <c r="O11" s="13" t="str">
        <f aca="false">IF(N11="","",N11/K11)</f>
        <v/>
      </c>
      <c r="P11" s="14" t="s">
        <v>36</v>
      </c>
    </row>
    <row r="12" customFormat="false" ht="15" hidden="false" customHeight="false" outlineLevel="0" collapsed="false">
      <c r="A12" s="6" t="s">
        <v>81</v>
      </c>
      <c r="B12" s="7" t="s">
        <v>29</v>
      </c>
      <c r="C12" s="7" t="s">
        <v>82</v>
      </c>
      <c r="D12" s="7" t="s">
        <v>78</v>
      </c>
      <c r="E12" s="7" t="s">
        <v>32</v>
      </c>
      <c r="F12" s="7" t="s">
        <v>33</v>
      </c>
      <c r="G12" s="8" t="s">
        <v>83</v>
      </c>
      <c r="H12" s="7" t="s">
        <v>84</v>
      </c>
      <c r="I12" s="9" t="str">
        <f aca="false">IF(SUMIFS(Состав!$R:$R,Состав!$A:$A,A12)=0,"",SUMIFS(Состав!$R:$R,Состав!$A:$A,A12)+Параметры!$B$3)</f>
        <v/>
      </c>
      <c r="J12" s="10" t="n">
        <f aca="false">COUNTIFS(Состав!$A:$A,A12,Состав!$P:$P,"",Состав!$D:$D,"&gt;0")</f>
        <v>5</v>
      </c>
      <c r="K12" s="11" t="str">
        <f aca="false">IF(I12="","",CEILING(I12*(1+Параметры!$B$2),Параметры!$B$4)-Параметры!$B$5)</f>
        <v/>
      </c>
      <c r="L12" s="12"/>
      <c r="M12" s="7" t="str">
        <f aca="false">IF(OR(K12="",L12=""),"",IF(K12&lt;=L12,"не дороже рынка","дороже рынка"))</f>
        <v/>
      </c>
      <c r="N12" s="9" t="str">
        <f aca="false">IF(K12="","",K12-I12-K12*Параметры!$B$6-Параметры!$B$7)</f>
        <v/>
      </c>
      <c r="O12" s="13" t="str">
        <f aca="false">IF(N12="","",N12/K12)</f>
        <v/>
      </c>
      <c r="P12" s="14" t="s">
        <v>36</v>
      </c>
    </row>
    <row r="13" customFormat="false" ht="15" hidden="false" customHeight="false" outlineLevel="0" collapsed="false">
      <c r="A13" s="6" t="s">
        <v>85</v>
      </c>
      <c r="B13" s="7" t="s">
        <v>29</v>
      </c>
      <c r="C13" s="7" t="s">
        <v>86</v>
      </c>
      <c r="D13" s="7" t="s">
        <v>87</v>
      </c>
      <c r="E13" s="7" t="s">
        <v>88</v>
      </c>
      <c r="F13" s="7" t="s">
        <v>33</v>
      </c>
      <c r="G13" s="8" t="s">
        <v>89</v>
      </c>
      <c r="H13" s="7" t="s">
        <v>90</v>
      </c>
      <c r="I13" s="9" t="str">
        <f aca="false">IF(SUMIFS(Состав!$R:$R,Состав!$A:$A,A13)=0,"",SUMIFS(Состав!$R:$R,Состав!$A:$A,A13)+Параметры!$B$3)</f>
        <v/>
      </c>
      <c r="J13" s="10" t="n">
        <f aca="false">COUNTIFS(Состав!$A:$A,A13,Состав!$P:$P,"",Состав!$D:$D,"&gt;0")</f>
        <v>5</v>
      </c>
      <c r="K13" s="11" t="str">
        <f aca="false">IF(I13="","",CEILING(I13*(1+Параметры!$B$2),Параметры!$B$4)-Параметры!$B$5)</f>
        <v/>
      </c>
      <c r="L13" s="12"/>
      <c r="M13" s="7" t="str">
        <f aca="false">IF(OR(K13="",L13=""),"",IF(K13&lt;=L13,"не дороже рынка","дороже рынка"))</f>
        <v/>
      </c>
      <c r="N13" s="9" t="str">
        <f aca="false">IF(K13="","",K13-I13-K13*Параметры!$B$6-Параметры!$B$7)</f>
        <v/>
      </c>
      <c r="O13" s="13" t="str">
        <f aca="false">IF(N13="","",N13/K13)</f>
        <v/>
      </c>
      <c r="P13" s="14" t="s">
        <v>36</v>
      </c>
    </row>
    <row r="14" customFormat="false" ht="15" hidden="false" customHeight="false" outlineLevel="0" collapsed="false">
      <c r="A14" s="6" t="s">
        <v>91</v>
      </c>
      <c r="B14" s="7" t="s">
        <v>29</v>
      </c>
      <c r="C14" s="7" t="s">
        <v>92</v>
      </c>
      <c r="D14" s="7" t="s">
        <v>93</v>
      </c>
      <c r="E14" s="7" t="s">
        <v>32</v>
      </c>
      <c r="F14" s="7" t="s">
        <v>33</v>
      </c>
      <c r="G14" s="8" t="s">
        <v>94</v>
      </c>
      <c r="H14" s="7" t="s">
        <v>95</v>
      </c>
      <c r="I14" s="9" t="str">
        <f aca="false">IF(SUMIFS(Состав!$R:$R,Состав!$A:$A,A14)=0,"",SUMIFS(Состав!$R:$R,Состав!$A:$A,A14)+Параметры!$B$3)</f>
        <v/>
      </c>
      <c r="J14" s="10" t="n">
        <f aca="false">COUNTIFS(Состав!$A:$A,A14,Состав!$P:$P,"",Состав!$D:$D,"&gt;0")</f>
        <v>4</v>
      </c>
      <c r="K14" s="11" t="str">
        <f aca="false">IF(I14="","",CEILING(I14*(1+Параметры!$B$2),Параметры!$B$4)-Параметры!$B$5)</f>
        <v/>
      </c>
      <c r="L14" s="12"/>
      <c r="M14" s="7" t="str">
        <f aca="false">IF(OR(K14="",L14=""),"",IF(K14&lt;=L14,"не дороже рынка","дороже рынка"))</f>
        <v/>
      </c>
      <c r="N14" s="9" t="str">
        <f aca="false">IF(K14="","",K14-I14-K14*Параметры!$B$6-Параметры!$B$7)</f>
        <v/>
      </c>
      <c r="O14" s="13" t="str">
        <f aca="false">IF(N14="","",N14/K14)</f>
        <v/>
      </c>
      <c r="P14" s="14" t="s">
        <v>36</v>
      </c>
    </row>
    <row r="15" customFormat="false" ht="15" hidden="false" customHeight="false" outlineLevel="0" collapsed="false">
      <c r="A15" s="6" t="s">
        <v>96</v>
      </c>
      <c r="B15" s="7" t="s">
        <v>29</v>
      </c>
      <c r="C15" s="7" t="s">
        <v>97</v>
      </c>
      <c r="D15" s="7" t="s">
        <v>98</v>
      </c>
      <c r="E15" s="7" t="s">
        <v>99</v>
      </c>
      <c r="F15" s="7" t="s">
        <v>33</v>
      </c>
      <c r="G15" s="8" t="s">
        <v>100</v>
      </c>
      <c r="H15" s="7" t="s">
        <v>101</v>
      </c>
      <c r="I15" s="9" t="str">
        <f aca="false">IF(SUMIFS(Состав!$R:$R,Состав!$A:$A,A15)=0,"",SUMIFS(Состав!$R:$R,Состав!$A:$A,A15)+Параметры!$B$3)</f>
        <v/>
      </c>
      <c r="J15" s="10" t="n">
        <f aca="false">COUNTIFS(Состав!$A:$A,A15,Состав!$P:$P,"",Состав!$D:$D,"&gt;0")</f>
        <v>4</v>
      </c>
      <c r="K15" s="11" t="str">
        <f aca="false">IF(I15="","",CEILING(I15*(1+Параметры!$B$2),Параметры!$B$4)-Параметры!$B$5)</f>
        <v/>
      </c>
      <c r="L15" s="12"/>
      <c r="M15" s="7" t="str">
        <f aca="false">IF(OR(K15="",L15=""),"",IF(K15&lt;=L15,"не дороже рынка","дороже рынка"))</f>
        <v/>
      </c>
      <c r="N15" s="9" t="str">
        <f aca="false">IF(K15="","",K15-I15-K15*Параметры!$B$6-Параметры!$B$7)</f>
        <v/>
      </c>
      <c r="O15" s="13" t="str">
        <f aca="false">IF(N15="","",N15/K15)</f>
        <v/>
      </c>
      <c r="P15" s="14" t="s">
        <v>36</v>
      </c>
    </row>
    <row r="16" customFormat="false" ht="15" hidden="false" customHeight="false" outlineLevel="0" collapsed="false">
      <c r="A16" s="6" t="s">
        <v>102</v>
      </c>
      <c r="B16" s="7" t="s">
        <v>103</v>
      </c>
      <c r="C16" s="7" t="s">
        <v>30</v>
      </c>
      <c r="D16" s="7" t="s">
        <v>31</v>
      </c>
      <c r="E16" s="7" t="s">
        <v>32</v>
      </c>
      <c r="F16" s="7" t="s">
        <v>33</v>
      </c>
      <c r="G16" s="8" t="s">
        <v>104</v>
      </c>
      <c r="H16" s="7" t="s">
        <v>105</v>
      </c>
      <c r="I16" s="9" t="str">
        <f aca="false">IF(SUMIFS(Состав!$R:$R,Состав!$A:$A,A16)=0,"",SUMIFS(Состав!$R:$R,Состав!$A:$A,A16)+Параметры!$B$3)</f>
        <v/>
      </c>
      <c r="J16" s="10" t="n">
        <f aca="false">COUNTIFS(Состав!$A:$A,A16,Состав!$P:$P,"",Состав!$D:$D,"&gt;0")</f>
        <v>3</v>
      </c>
      <c r="K16" s="11" t="str">
        <f aca="false">IF(I16="","",CEILING(I16*(1+Параметры!$B$2),Параметры!$B$4)-Параметры!$B$5)</f>
        <v/>
      </c>
      <c r="L16" s="12"/>
      <c r="M16" s="7" t="str">
        <f aca="false">IF(OR(K16="",L16=""),"",IF(K16&lt;=L16,"не дороже рынка","дороже рынка"))</f>
        <v/>
      </c>
      <c r="N16" s="9" t="str">
        <f aca="false">IF(K16="","",K16-I16-K16*Параметры!$B$6-Параметры!$B$7)</f>
        <v/>
      </c>
      <c r="O16" s="13" t="str">
        <f aca="false">IF(N16="","",N16/K16)</f>
        <v/>
      </c>
      <c r="P16" s="14" t="s">
        <v>36</v>
      </c>
    </row>
    <row r="17" customFormat="false" ht="15" hidden="false" customHeight="false" outlineLevel="0" collapsed="false">
      <c r="A17" s="6" t="s">
        <v>106</v>
      </c>
      <c r="B17" s="7" t="s">
        <v>103</v>
      </c>
      <c r="C17" s="7" t="s">
        <v>38</v>
      </c>
      <c r="D17" s="7" t="s">
        <v>39</v>
      </c>
      <c r="E17" s="7" t="s">
        <v>32</v>
      </c>
      <c r="F17" s="7" t="s">
        <v>33</v>
      </c>
      <c r="G17" s="8" t="s">
        <v>107</v>
      </c>
      <c r="H17" s="7" t="s">
        <v>108</v>
      </c>
      <c r="I17" s="9" t="str">
        <f aca="false">IF(SUMIFS(Состав!$R:$R,Состав!$A:$A,A17)=0,"",SUMIFS(Состав!$R:$R,Состав!$A:$A,A17)+Параметры!$B$3)</f>
        <v/>
      </c>
      <c r="J17" s="10" t="n">
        <f aca="false">COUNTIFS(Состав!$A:$A,A17,Состав!$P:$P,"",Состав!$D:$D,"&gt;0")</f>
        <v>3</v>
      </c>
      <c r="K17" s="11" t="str">
        <f aca="false">IF(I17="","",CEILING(I17*(1+Параметры!$B$2),Параметры!$B$4)-Параметры!$B$5)</f>
        <v/>
      </c>
      <c r="L17" s="12"/>
      <c r="M17" s="7" t="str">
        <f aca="false">IF(OR(K17="",L17=""),"",IF(K17&lt;=L17,"не дороже рынка","дороже рынка"))</f>
        <v/>
      </c>
      <c r="N17" s="9" t="str">
        <f aca="false">IF(K17="","",K17-I17-K17*Параметры!$B$6-Параметры!$B$7)</f>
        <v/>
      </c>
      <c r="O17" s="13" t="str">
        <f aca="false">IF(N17="","",N17/K17)</f>
        <v/>
      </c>
      <c r="P17" s="14" t="s">
        <v>36</v>
      </c>
    </row>
    <row r="18" customFormat="false" ht="15" hidden="false" customHeight="false" outlineLevel="0" collapsed="false">
      <c r="A18" s="6" t="s">
        <v>109</v>
      </c>
      <c r="B18" s="7" t="s">
        <v>103</v>
      </c>
      <c r="C18" s="7" t="s">
        <v>43</v>
      </c>
      <c r="D18" s="7" t="s">
        <v>31</v>
      </c>
      <c r="E18" s="7" t="s">
        <v>32</v>
      </c>
      <c r="F18" s="7" t="s">
        <v>33</v>
      </c>
      <c r="G18" s="8" t="s">
        <v>110</v>
      </c>
      <c r="H18" s="7" t="s">
        <v>111</v>
      </c>
      <c r="I18" s="9" t="str">
        <f aca="false">IF(SUMIFS(Состав!$R:$R,Состав!$A:$A,A18)=0,"",SUMIFS(Состав!$R:$R,Состав!$A:$A,A18)+Параметры!$B$3)</f>
        <v/>
      </c>
      <c r="J18" s="10" t="n">
        <f aca="false">COUNTIFS(Состав!$A:$A,A18,Состав!$P:$P,"",Состав!$D:$D,"&gt;0")</f>
        <v>3</v>
      </c>
      <c r="K18" s="11" t="str">
        <f aca="false">IF(I18="","",CEILING(I18*(1+Параметры!$B$2),Параметры!$B$4)-Параметры!$B$5)</f>
        <v/>
      </c>
      <c r="L18" s="12"/>
      <c r="M18" s="7" t="str">
        <f aca="false">IF(OR(K18="",L18=""),"",IF(K18&lt;=L18,"не дороже рынка","дороже рынка"))</f>
        <v/>
      </c>
      <c r="N18" s="9" t="str">
        <f aca="false">IF(K18="","",K18-I18-K18*Параметры!$B$6-Параметры!$B$7)</f>
        <v/>
      </c>
      <c r="O18" s="13" t="str">
        <f aca="false">IF(N18="","",N18/K18)</f>
        <v/>
      </c>
      <c r="P18" s="14" t="s">
        <v>36</v>
      </c>
    </row>
    <row r="19" customFormat="false" ht="15" hidden="false" customHeight="false" outlineLevel="0" collapsed="false">
      <c r="A19" s="6" t="s">
        <v>112</v>
      </c>
      <c r="B19" s="7" t="s">
        <v>103</v>
      </c>
      <c r="C19" s="7" t="s">
        <v>47</v>
      </c>
      <c r="D19" s="7" t="s">
        <v>39</v>
      </c>
      <c r="E19" s="7" t="s">
        <v>32</v>
      </c>
      <c r="F19" s="7" t="s">
        <v>33</v>
      </c>
      <c r="G19" s="8" t="s">
        <v>113</v>
      </c>
      <c r="H19" s="7" t="s">
        <v>114</v>
      </c>
      <c r="I19" s="9" t="str">
        <f aca="false">IF(SUMIFS(Состав!$R:$R,Состав!$A:$A,A19)=0,"",SUMIFS(Состав!$R:$R,Состав!$A:$A,A19)+Параметры!$B$3)</f>
        <v/>
      </c>
      <c r="J19" s="10" t="n">
        <f aca="false">COUNTIFS(Состав!$A:$A,A19,Состав!$P:$P,"",Состав!$D:$D,"&gt;0")</f>
        <v>3</v>
      </c>
      <c r="K19" s="11" t="str">
        <f aca="false">IF(I19="","",CEILING(I19*(1+Параметры!$B$2),Параметры!$B$4)-Параметры!$B$5)</f>
        <v/>
      </c>
      <c r="L19" s="12"/>
      <c r="M19" s="7" t="str">
        <f aca="false">IF(OR(K19="",L19=""),"",IF(K19&lt;=L19,"не дороже рынка","дороже рынка"))</f>
        <v/>
      </c>
      <c r="N19" s="9" t="str">
        <f aca="false">IF(K19="","",K19-I19-K19*Параметры!$B$6-Параметры!$B$7)</f>
        <v/>
      </c>
      <c r="O19" s="13" t="str">
        <f aca="false">IF(N19="","",N19/K19)</f>
        <v/>
      </c>
      <c r="P19" s="14" t="s">
        <v>36</v>
      </c>
    </row>
    <row r="20" customFormat="false" ht="15" hidden="false" customHeight="false" outlineLevel="0" collapsed="false">
      <c r="A20" s="6" t="s">
        <v>115</v>
      </c>
      <c r="B20" s="7" t="s">
        <v>103</v>
      </c>
      <c r="C20" s="7" t="s">
        <v>51</v>
      </c>
      <c r="D20" s="7" t="s">
        <v>52</v>
      </c>
      <c r="E20" s="7" t="s">
        <v>32</v>
      </c>
      <c r="F20" s="7" t="s">
        <v>116</v>
      </c>
      <c r="G20" s="8" t="s">
        <v>117</v>
      </c>
      <c r="H20" s="7" t="s">
        <v>118</v>
      </c>
      <c r="I20" s="9" t="str">
        <f aca="false">IF(SUMIFS(Состав!$R:$R,Состав!$A:$A,A20)=0,"",SUMIFS(Состав!$R:$R,Состав!$A:$A,A20)+Параметры!$B$3)</f>
        <v/>
      </c>
      <c r="J20" s="10" t="n">
        <f aca="false">COUNTIFS(Состав!$A:$A,A20,Состав!$P:$P,"",Состав!$D:$D,"&gt;0")</f>
        <v>3</v>
      </c>
      <c r="K20" s="11" t="str">
        <f aca="false">IF(I20="","",CEILING(I20*(1+Параметры!$B$2),Параметры!$B$4)-Параметры!$B$5)</f>
        <v/>
      </c>
      <c r="L20" s="12"/>
      <c r="M20" s="7" t="str">
        <f aca="false">IF(OR(K20="",L20=""),"",IF(K20&lt;=L20,"не дороже рынка","дороже рынка"))</f>
        <v/>
      </c>
      <c r="N20" s="9" t="str">
        <f aca="false">IF(K20="","",K20-I20-K20*Параметры!$B$6-Параметры!$B$7)</f>
        <v/>
      </c>
      <c r="O20" s="13" t="str">
        <f aca="false">IF(N20="","",N20/K20)</f>
        <v/>
      </c>
      <c r="P20" s="14" t="s">
        <v>36</v>
      </c>
    </row>
    <row r="21" customFormat="false" ht="15" hidden="false" customHeight="false" outlineLevel="0" collapsed="false">
      <c r="A21" s="6" t="s">
        <v>119</v>
      </c>
      <c r="B21" s="7" t="s">
        <v>103</v>
      </c>
      <c r="C21" s="7" t="s">
        <v>56</v>
      </c>
      <c r="D21" s="7" t="s">
        <v>57</v>
      </c>
      <c r="E21" s="7" t="s">
        <v>58</v>
      </c>
      <c r="F21" s="7" t="s">
        <v>33</v>
      </c>
      <c r="G21" s="8" t="s">
        <v>120</v>
      </c>
      <c r="H21" s="7" t="s">
        <v>121</v>
      </c>
      <c r="I21" s="9" t="str">
        <f aca="false">IF(SUMIFS(Состав!$R:$R,Состав!$A:$A,A21)=0,"",SUMIFS(Состав!$R:$R,Состав!$A:$A,A21)+Параметры!$B$3)</f>
        <v/>
      </c>
      <c r="J21" s="10" t="n">
        <f aca="false">COUNTIFS(Состав!$A:$A,A21,Состав!$P:$P,"",Состав!$D:$D,"&gt;0")</f>
        <v>1</v>
      </c>
      <c r="K21" s="11" t="str">
        <f aca="false">IF(I21="","",CEILING(I21*(1+Параметры!$B$2),Параметры!$B$4)-Параметры!$B$5)</f>
        <v/>
      </c>
      <c r="L21" s="12"/>
      <c r="M21" s="7" t="str">
        <f aca="false">IF(OR(K21="",L21=""),"",IF(K21&lt;=L21,"не дороже рынка","дороже рынка"))</f>
        <v/>
      </c>
      <c r="N21" s="9" t="str">
        <f aca="false">IF(K21="","",K21-I21-K21*Параметры!$B$6-Параметры!$B$7)</f>
        <v/>
      </c>
      <c r="O21" s="13" t="str">
        <f aca="false">IF(N21="","",N21/K21)</f>
        <v/>
      </c>
      <c r="P21" s="14" t="s">
        <v>36</v>
      </c>
    </row>
    <row r="22" customFormat="false" ht="15" hidden="false" customHeight="false" outlineLevel="0" collapsed="false">
      <c r="A22" s="6" t="s">
        <v>122</v>
      </c>
      <c r="B22" s="7" t="s">
        <v>103</v>
      </c>
      <c r="C22" s="7" t="s">
        <v>62</v>
      </c>
      <c r="D22" s="7" t="s">
        <v>63</v>
      </c>
      <c r="E22" s="7" t="s">
        <v>32</v>
      </c>
      <c r="F22" s="7" t="s">
        <v>116</v>
      </c>
      <c r="G22" s="8" t="s">
        <v>123</v>
      </c>
      <c r="H22" s="7" t="s">
        <v>124</v>
      </c>
      <c r="I22" s="9" t="str">
        <f aca="false">IF(SUMIFS(Состав!$R:$R,Состав!$A:$A,A22)=0,"",SUMIFS(Состав!$R:$R,Состав!$A:$A,A22)+Параметры!$B$3)</f>
        <v/>
      </c>
      <c r="J22" s="10" t="n">
        <f aca="false">COUNTIFS(Состав!$A:$A,A22,Состав!$P:$P,"",Состав!$D:$D,"&gt;0")</f>
        <v>3</v>
      </c>
      <c r="K22" s="11" t="str">
        <f aca="false">IF(I22="","",CEILING(I22*(1+Параметры!$B$2),Параметры!$B$4)-Параметры!$B$5)</f>
        <v/>
      </c>
      <c r="L22" s="12"/>
      <c r="M22" s="7" t="str">
        <f aca="false">IF(OR(K22="",L22=""),"",IF(K22&lt;=L22,"не дороже рынка","дороже рынка"))</f>
        <v/>
      </c>
      <c r="N22" s="9" t="str">
        <f aca="false">IF(K22="","",K22-I22-K22*Параметры!$B$6-Параметры!$B$7)</f>
        <v/>
      </c>
      <c r="O22" s="13" t="str">
        <f aca="false">IF(N22="","",N22/K22)</f>
        <v/>
      </c>
      <c r="P22" s="14" t="s">
        <v>36</v>
      </c>
    </row>
    <row r="23" customFormat="false" ht="15" hidden="false" customHeight="false" outlineLevel="0" collapsed="false">
      <c r="A23" s="6" t="s">
        <v>125</v>
      </c>
      <c r="B23" s="7" t="s">
        <v>103</v>
      </c>
      <c r="C23" s="7" t="s">
        <v>67</v>
      </c>
      <c r="D23" s="7" t="s">
        <v>68</v>
      </c>
      <c r="E23" s="7" t="s">
        <v>32</v>
      </c>
      <c r="F23" s="7" t="s">
        <v>33</v>
      </c>
      <c r="G23" s="8" t="s">
        <v>126</v>
      </c>
      <c r="H23" s="7" t="s">
        <v>127</v>
      </c>
      <c r="I23" s="9" t="str">
        <f aca="false">IF(SUMIFS(Состав!$R:$R,Состав!$A:$A,A23)=0,"",SUMIFS(Состав!$R:$R,Состав!$A:$A,A23)+Параметры!$B$3)</f>
        <v/>
      </c>
      <c r="J23" s="10" t="n">
        <f aca="false">COUNTIFS(Состав!$A:$A,A23,Состав!$P:$P,"",Состав!$D:$D,"&gt;0")</f>
        <v>3</v>
      </c>
      <c r="K23" s="11" t="str">
        <f aca="false">IF(I23="","",CEILING(I23*(1+Параметры!$B$2),Параметры!$B$4)-Параметры!$B$5)</f>
        <v/>
      </c>
      <c r="L23" s="12"/>
      <c r="M23" s="7" t="str">
        <f aca="false">IF(OR(K23="",L23=""),"",IF(K23&lt;=L23,"не дороже рынка","дороже рынка"))</f>
        <v/>
      </c>
      <c r="N23" s="9" t="str">
        <f aca="false">IF(K23="","",K23-I23-K23*Параметры!$B$6-Параметры!$B$7)</f>
        <v/>
      </c>
      <c r="O23" s="13" t="str">
        <f aca="false">IF(N23="","",N23/K23)</f>
        <v/>
      </c>
      <c r="P23" s="14" t="s">
        <v>36</v>
      </c>
    </row>
    <row r="24" customFormat="false" ht="15" hidden="false" customHeight="false" outlineLevel="0" collapsed="false">
      <c r="A24" s="6" t="s">
        <v>128</v>
      </c>
      <c r="B24" s="7" t="s">
        <v>103</v>
      </c>
      <c r="C24" s="7" t="s">
        <v>72</v>
      </c>
      <c r="D24" s="7" t="s">
        <v>73</v>
      </c>
      <c r="E24" s="7" t="s">
        <v>32</v>
      </c>
      <c r="F24" s="7" t="s">
        <v>116</v>
      </c>
      <c r="G24" s="8" t="s">
        <v>129</v>
      </c>
      <c r="H24" s="7" t="s">
        <v>130</v>
      </c>
      <c r="I24" s="9" t="str">
        <f aca="false">IF(SUMIFS(Состав!$R:$R,Состав!$A:$A,A24)=0,"",SUMIFS(Состав!$R:$R,Состав!$A:$A,A24)+Параметры!$B$3)</f>
        <v/>
      </c>
      <c r="J24" s="10" t="n">
        <f aca="false">COUNTIFS(Состав!$A:$A,A24,Состав!$P:$P,"",Состав!$D:$D,"&gt;0")</f>
        <v>3</v>
      </c>
      <c r="K24" s="11" t="str">
        <f aca="false">IF(I24="","",CEILING(I24*(1+Параметры!$B$2),Параметры!$B$4)-Параметры!$B$5)</f>
        <v/>
      </c>
      <c r="L24" s="12"/>
      <c r="M24" s="7" t="str">
        <f aca="false">IF(OR(K24="",L24=""),"",IF(K24&lt;=L24,"не дороже рынка","дороже рынка"))</f>
        <v/>
      </c>
      <c r="N24" s="9" t="str">
        <f aca="false">IF(K24="","",K24-I24-K24*Параметры!$B$6-Параметры!$B$7)</f>
        <v/>
      </c>
      <c r="O24" s="13" t="str">
        <f aca="false">IF(N24="","",N24/K24)</f>
        <v/>
      </c>
      <c r="P24" s="14" t="s">
        <v>36</v>
      </c>
    </row>
    <row r="25" customFormat="false" ht="15" hidden="false" customHeight="false" outlineLevel="0" collapsed="false">
      <c r="A25" s="6" t="s">
        <v>131</v>
      </c>
      <c r="B25" s="7" t="s">
        <v>103</v>
      </c>
      <c r="C25" s="7" t="s">
        <v>132</v>
      </c>
      <c r="D25" s="7" t="s">
        <v>78</v>
      </c>
      <c r="E25" s="7" t="s">
        <v>32</v>
      </c>
      <c r="F25" s="7" t="s">
        <v>133</v>
      </c>
      <c r="G25" s="8" t="s">
        <v>134</v>
      </c>
      <c r="H25" s="7" t="s">
        <v>135</v>
      </c>
      <c r="I25" s="9" t="str">
        <f aca="false">IF(SUMIFS(Состав!$R:$R,Состав!$A:$A,A25)=0,"",SUMIFS(Состав!$R:$R,Состав!$A:$A,A25)+Параметры!$B$3)</f>
        <v/>
      </c>
      <c r="J25" s="10" t="n">
        <f aca="false">COUNTIFS(Состав!$A:$A,A25,Состав!$P:$P,"",Состав!$D:$D,"&gt;0")</f>
        <v>3</v>
      </c>
      <c r="K25" s="11" t="str">
        <f aca="false">IF(I25="","",CEILING(I25*(1+Параметры!$B$2),Параметры!$B$4)-Параметры!$B$5)</f>
        <v/>
      </c>
      <c r="L25" s="12"/>
      <c r="M25" s="7" t="str">
        <f aca="false">IF(OR(K25="",L25=""),"",IF(K25&lt;=L25,"не дороже рынка","дороже рынка"))</f>
        <v/>
      </c>
      <c r="N25" s="9" t="str">
        <f aca="false">IF(K25="","",K25-I25-K25*Параметры!$B$6-Параметры!$B$7)</f>
        <v/>
      </c>
      <c r="O25" s="13" t="str">
        <f aca="false">IF(N25="","",N25/K25)</f>
        <v/>
      </c>
      <c r="P25" s="14" t="s">
        <v>36</v>
      </c>
    </row>
    <row r="26" customFormat="false" ht="15" hidden="false" customHeight="false" outlineLevel="0" collapsed="false">
      <c r="A26" s="6" t="s">
        <v>136</v>
      </c>
      <c r="B26" s="7" t="s">
        <v>103</v>
      </c>
      <c r="C26" s="7" t="s">
        <v>86</v>
      </c>
      <c r="D26" s="7" t="s">
        <v>87</v>
      </c>
      <c r="E26" s="7" t="s">
        <v>88</v>
      </c>
      <c r="F26" s="7" t="s">
        <v>33</v>
      </c>
      <c r="G26" s="8" t="s">
        <v>137</v>
      </c>
      <c r="H26" s="7" t="s">
        <v>138</v>
      </c>
      <c r="I26" s="9" t="str">
        <f aca="false">IF(SUMIFS(Состав!$R:$R,Состав!$A:$A,A26)=0,"",SUMIFS(Состав!$R:$R,Состав!$A:$A,A26)+Параметры!$B$3)</f>
        <v/>
      </c>
      <c r="J26" s="10" t="n">
        <f aca="false">COUNTIFS(Состав!$A:$A,A26,Состав!$P:$P,"",Состав!$D:$D,"&gt;0")</f>
        <v>2</v>
      </c>
      <c r="K26" s="11" t="str">
        <f aca="false">IF(I26="","",CEILING(I26*(1+Параметры!$B$2),Параметры!$B$4)-Параметры!$B$5)</f>
        <v/>
      </c>
      <c r="L26" s="12"/>
      <c r="M26" s="7" t="str">
        <f aca="false">IF(OR(K26="",L26=""),"",IF(K26&lt;=L26,"не дороже рынка","дороже рынка"))</f>
        <v/>
      </c>
      <c r="N26" s="9" t="str">
        <f aca="false">IF(K26="","",K26-I26-K26*Параметры!$B$6-Параметры!$B$7)</f>
        <v/>
      </c>
      <c r="O26" s="13" t="str">
        <f aca="false">IF(N26="","",N26/K26)</f>
        <v/>
      </c>
      <c r="P26" s="14" t="s">
        <v>36</v>
      </c>
    </row>
  </sheetData>
  <conditionalFormatting sqref="J2:J26">
    <cfRule type="cellIs" priority="2" operator="greaterThan" aboveAverage="0" equalAverage="0" bottom="0" percent="0" rank="0" text="" dxfId="0">
      <formula>0</formula>
    </cfRule>
  </conditionalFormatting>
  <conditionalFormatting sqref="M2:M26">
    <cfRule type="cellIs" priority="3" operator="equal" aboveAverage="0" equalAverage="0" bottom="0" percent="0" rank="0" text="" dxfId="1">
      <formula>"дороже рынка"</formula>
    </cfRule>
  </conditionalFormatting>
  <dataValidations count="1">
    <dataValidation allowBlank="true" errorStyle="stop" operator="between" showDropDown="false" showErrorMessage="false" showInputMessage="false" sqref="P2:P26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1.5" hidden="false" customHeight="true" outlineLevel="0" collapsed="false">
      <c r="A1" s="5" t="s">
        <v>139</v>
      </c>
      <c r="B1" s="5" t="s">
        <v>140</v>
      </c>
      <c r="C1" s="5" t="s">
        <v>141</v>
      </c>
    </row>
    <row r="2" customFormat="false" ht="15" hidden="false" customHeight="false" outlineLevel="0" collapsed="false">
      <c r="A2" s="7" t="s">
        <v>142</v>
      </c>
      <c r="B2" s="15" t="n">
        <v>0.3</v>
      </c>
      <c r="C2" s="8" t="s">
        <v>143</v>
      </c>
    </row>
    <row r="3" customFormat="false" ht="15" hidden="false" customHeight="false" outlineLevel="0" collapsed="false">
      <c r="A3" s="7" t="s">
        <v>144</v>
      </c>
      <c r="B3" s="12" t="n">
        <v>50</v>
      </c>
      <c r="C3" s="8" t="s">
        <v>145</v>
      </c>
    </row>
    <row r="4" customFormat="false" ht="15" hidden="false" customHeight="false" outlineLevel="0" collapsed="false">
      <c r="A4" s="7" t="s">
        <v>146</v>
      </c>
      <c r="B4" s="12" t="n">
        <v>100</v>
      </c>
      <c r="C4" s="8" t="s">
        <v>147</v>
      </c>
    </row>
    <row r="5" customFormat="false" ht="15" hidden="false" customHeight="false" outlineLevel="0" collapsed="false">
      <c r="A5" s="7" t="s">
        <v>148</v>
      </c>
      <c r="B5" s="12" t="n">
        <v>10</v>
      </c>
      <c r="C5" s="8" t="s">
        <v>149</v>
      </c>
    </row>
    <row r="6" customFormat="false" ht="15" hidden="false" customHeight="false" outlineLevel="0" collapsed="false">
      <c r="A6" s="7" t="s">
        <v>150</v>
      </c>
      <c r="B6" s="15" t="n">
        <v>0.065</v>
      </c>
      <c r="C6" s="8" t="s">
        <v>151</v>
      </c>
    </row>
    <row r="7" customFormat="false" ht="15" hidden="false" customHeight="false" outlineLevel="0" collapsed="false">
      <c r="A7" s="7" t="s">
        <v>152</v>
      </c>
      <c r="B7" s="12" t="n">
        <v>180</v>
      </c>
      <c r="C7" s="8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12</v>
      </c>
      <c r="B1" s="5" t="s">
        <v>14</v>
      </c>
      <c r="C1" s="5" t="s">
        <v>154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159</v>
      </c>
      <c r="I1" s="5" t="s">
        <v>160</v>
      </c>
      <c r="J1" s="5" t="s">
        <v>161</v>
      </c>
      <c r="K1" s="5" t="s">
        <v>162</v>
      </c>
      <c r="L1" s="5" t="s">
        <v>163</v>
      </c>
      <c r="M1" s="5" t="s">
        <v>164</v>
      </c>
      <c r="N1" s="5" t="s">
        <v>165</v>
      </c>
      <c r="O1" s="5" t="s">
        <v>166</v>
      </c>
      <c r="P1" s="5" t="s">
        <v>167</v>
      </c>
      <c r="Q1" s="5" t="s">
        <v>168</v>
      </c>
      <c r="R1" s="5" t="s">
        <v>169</v>
      </c>
      <c r="S1" s="5" t="s">
        <v>170</v>
      </c>
    </row>
    <row r="2" customFormat="false" ht="15" hidden="false" customHeight="false" outlineLevel="0" collapsed="false">
      <c r="A2" s="16" t="s">
        <v>171</v>
      </c>
      <c r="B2" s="16" t="s">
        <v>172</v>
      </c>
      <c r="C2" s="17" t="s">
        <v>173</v>
      </c>
      <c r="D2" s="18" t="n">
        <v>1</v>
      </c>
      <c r="E2" s="18" t="s">
        <v>174</v>
      </c>
      <c r="F2" s="18" t="s">
        <v>175</v>
      </c>
      <c r="G2" s="19" t="n">
        <v>460</v>
      </c>
      <c r="H2" s="19"/>
      <c r="I2" s="19" t="n">
        <v>445</v>
      </c>
      <c r="J2" s="19" t="n">
        <v>430</v>
      </c>
      <c r="K2" s="19"/>
      <c r="L2" s="19"/>
      <c r="M2" s="19"/>
      <c r="N2" s="19" t="n">
        <v>470</v>
      </c>
      <c r="O2" s="19"/>
      <c r="P2" s="20" t="n">
        <f aca="false">IF(COUNT(G2:O2)=0,"",MIN(G2:O2))</f>
        <v>430</v>
      </c>
      <c r="Q2" s="17" t="str">
        <f aca="false">IF(P2="","",INDEX($G$1:$O$1,MATCH(P2,G2:O2,0)))</f>
        <v>Росско</v>
      </c>
      <c r="R2" s="20" t="n">
        <f aca="false">IF(P2="",0,P2*D2)</f>
        <v>430</v>
      </c>
      <c r="S2" s="21" t="s">
        <v>176</v>
      </c>
    </row>
    <row r="3" customFormat="false" ht="15" hidden="false" customHeight="false" outlineLevel="0" collapsed="false">
      <c r="A3" s="6" t="s">
        <v>28</v>
      </c>
      <c r="B3" s="7" t="str">
        <f aca="false">IFERROR(INDEX(Киты!$C:$C,MATCH(A3,Киты!$A:$A,0)),"")</f>
        <v>Hyundai Solaris 2010–2017</v>
      </c>
      <c r="C3" s="7" t="s">
        <v>177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178</v>
      </c>
    </row>
    <row r="4" customFormat="false" ht="15" hidden="false" customHeight="false" outlineLevel="0" collapsed="false">
      <c r="A4" s="6" t="s">
        <v>28</v>
      </c>
      <c r="B4" s="7" t="str">
        <f aca="false">IFERROR(INDEX(Киты!$C:$C,MATCH(A4,Киты!$A:$A,0)),"")</f>
        <v>Hyundai Solaris 2010–2017</v>
      </c>
      <c r="C4" s="7" t="s">
        <v>173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28</v>
      </c>
      <c r="B5" s="7" t="str">
        <f aca="false">IFERROR(INDEX(Киты!$C:$C,MATCH(A5,Киты!$A:$A,0)),"")</f>
        <v>Hyundai Solaris 2010–2017</v>
      </c>
      <c r="C5" s="7" t="s">
        <v>179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28</v>
      </c>
      <c r="B6" s="7" t="str">
        <f aca="false">IFERROR(INDEX(Киты!$C:$C,MATCH(A6,Киты!$A:$A,0)),"")</f>
        <v>Hyundai Solaris 2010–2017</v>
      </c>
      <c r="C6" s="7" t="s">
        <v>180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28</v>
      </c>
      <c r="B7" s="7" t="str">
        <f aca="false">IFERROR(INDEX(Киты!$C:$C,MATCH(A7,Киты!$A:$A,0)),"")</f>
        <v>Hyundai Solaris 2010–2017</v>
      </c>
      <c r="C7" s="7" t="s">
        <v>181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37</v>
      </c>
      <c r="B8" s="7" t="str">
        <f aca="false">IFERROR(INDEX(Киты!$C:$C,MATCH(A8,Киты!$A:$A,0)),"")</f>
        <v>Hyundai Solaris 2017–2022</v>
      </c>
      <c r="C8" s="7" t="s">
        <v>177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178</v>
      </c>
    </row>
    <row r="9" customFormat="false" ht="15" hidden="false" customHeight="false" outlineLevel="0" collapsed="false">
      <c r="A9" s="6" t="s">
        <v>37</v>
      </c>
      <c r="B9" s="7" t="str">
        <f aca="false">IFERROR(INDEX(Киты!$C:$C,MATCH(A9,Киты!$A:$A,0)),"")</f>
        <v>Hyundai Solaris 2017–2022</v>
      </c>
      <c r="C9" s="7" t="s">
        <v>173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37</v>
      </c>
      <c r="B10" s="7" t="str">
        <f aca="false">IFERROR(INDEX(Киты!$C:$C,MATCH(A10,Киты!$A:$A,0)),"")</f>
        <v>Hyundai Solaris 2017–2022</v>
      </c>
      <c r="C10" s="7" t="s">
        <v>179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37</v>
      </c>
      <c r="B11" s="7" t="str">
        <f aca="false">IFERROR(INDEX(Киты!$C:$C,MATCH(A11,Киты!$A:$A,0)),"")</f>
        <v>Hyundai Solaris 2017–2022</v>
      </c>
      <c r="C11" s="7" t="s">
        <v>180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37</v>
      </c>
      <c r="B12" s="7" t="str">
        <f aca="false">IFERROR(INDEX(Киты!$C:$C,MATCH(A12,Киты!$A:$A,0)),"")</f>
        <v>Hyundai Solaris 2017–2022</v>
      </c>
      <c r="C12" s="7" t="s">
        <v>181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42</v>
      </c>
      <c r="B13" s="7" t="str">
        <f aca="false">IFERROR(INDEX(Киты!$C:$C,MATCH(A13,Киты!$A:$A,0)),"")</f>
        <v>Kia Rio 2011–2017</v>
      </c>
      <c r="C13" s="7" t="s">
        <v>177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178</v>
      </c>
    </row>
    <row r="14" customFormat="false" ht="15" hidden="false" customHeight="false" outlineLevel="0" collapsed="false">
      <c r="A14" s="6" t="s">
        <v>42</v>
      </c>
      <c r="B14" s="7" t="str">
        <f aca="false">IFERROR(INDEX(Киты!$C:$C,MATCH(A14,Киты!$A:$A,0)),"")</f>
        <v>Kia Rio 2011–2017</v>
      </c>
      <c r="C14" s="7" t="s">
        <v>173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42</v>
      </c>
      <c r="B15" s="7" t="str">
        <f aca="false">IFERROR(INDEX(Киты!$C:$C,MATCH(A15,Киты!$A:$A,0)),"")</f>
        <v>Kia Rio 2011–2017</v>
      </c>
      <c r="C15" s="7" t="s">
        <v>179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42</v>
      </c>
      <c r="B16" s="7" t="str">
        <f aca="false">IFERROR(INDEX(Киты!$C:$C,MATCH(A16,Киты!$A:$A,0)),"")</f>
        <v>Kia Rio 2011–2017</v>
      </c>
      <c r="C16" s="7" t="s">
        <v>180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42</v>
      </c>
      <c r="B17" s="7" t="str">
        <f aca="false">IFERROR(INDEX(Киты!$C:$C,MATCH(A17,Киты!$A:$A,0)),"")</f>
        <v>Kia Rio 2011–2017</v>
      </c>
      <c r="C17" s="7" t="s">
        <v>181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46</v>
      </c>
      <c r="B18" s="7" t="str">
        <f aca="false">IFERROR(INDEX(Киты!$C:$C,MATCH(A18,Киты!$A:$A,0)),"")</f>
        <v>Kia Rio 2017–2021</v>
      </c>
      <c r="C18" s="7" t="s">
        <v>177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178</v>
      </c>
    </row>
    <row r="19" customFormat="false" ht="15" hidden="false" customHeight="false" outlineLevel="0" collapsed="false">
      <c r="A19" s="6" t="s">
        <v>46</v>
      </c>
      <c r="B19" s="7" t="str">
        <f aca="false">IFERROR(INDEX(Киты!$C:$C,MATCH(A19,Киты!$A:$A,0)),"")</f>
        <v>Kia Rio 2017–2021</v>
      </c>
      <c r="C19" s="7" t="s">
        <v>173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46</v>
      </c>
      <c r="B20" s="7" t="str">
        <f aca="false">IFERROR(INDEX(Киты!$C:$C,MATCH(A20,Киты!$A:$A,0)),"")</f>
        <v>Kia Rio 2017–2021</v>
      </c>
      <c r="C20" s="7" t="s">
        <v>179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46</v>
      </c>
      <c r="B21" s="7" t="str">
        <f aca="false">IFERROR(INDEX(Киты!$C:$C,MATCH(A21,Киты!$A:$A,0)),"")</f>
        <v>Kia Rio 2017–2021</v>
      </c>
      <c r="C21" s="7" t="s">
        <v>180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46</v>
      </c>
      <c r="B22" s="7" t="str">
        <f aca="false">IFERROR(INDEX(Киты!$C:$C,MATCH(A22,Киты!$A:$A,0)),"")</f>
        <v>Kia Rio 2017–2021</v>
      </c>
      <c r="C22" s="7" t="s">
        <v>181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50</v>
      </c>
      <c r="B23" s="7" t="str">
        <f aca="false">IFERROR(INDEX(Киты!$C:$C,MATCH(A23,Киты!$A:$A,0)),"")</f>
        <v>VW Polo 1.6 CFNA</v>
      </c>
      <c r="C23" s="7" t="s">
        <v>177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178</v>
      </c>
    </row>
    <row r="24" customFormat="false" ht="15" hidden="false" customHeight="false" outlineLevel="0" collapsed="false">
      <c r="A24" s="6" t="s">
        <v>50</v>
      </c>
      <c r="B24" s="7" t="str">
        <f aca="false">IFERROR(INDEX(Киты!$C:$C,MATCH(A24,Киты!$A:$A,0)),"")</f>
        <v>VW Polo 1.6 CFNA</v>
      </c>
      <c r="C24" s="7" t="s">
        <v>173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50</v>
      </c>
      <c r="B25" s="7" t="str">
        <f aca="false">IFERROR(INDEX(Киты!$C:$C,MATCH(A25,Киты!$A:$A,0)),"")</f>
        <v>VW Polo 1.6 CFNA</v>
      </c>
      <c r="C25" s="7" t="s">
        <v>179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50</v>
      </c>
      <c r="B26" s="7" t="str">
        <f aca="false">IFERROR(INDEX(Киты!$C:$C,MATCH(A26,Киты!$A:$A,0)),"")</f>
        <v>VW Polo 1.6 CFNA</v>
      </c>
      <c r="C26" s="7" t="s">
        <v>180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50</v>
      </c>
      <c r="B27" s="7" t="str">
        <f aca="false">IFERROR(INDEX(Киты!$C:$C,MATCH(A27,Киты!$A:$A,0)),"")</f>
        <v>VW Polo 1.6 CFNA</v>
      </c>
      <c r="C27" s="7" t="s">
        <v>181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55</v>
      </c>
      <c r="B28" s="7" t="str">
        <f aca="false">IFERROR(INDEX(Киты!$C:$C,MATCH(A28,Киты!$A:$A,0)),"")</f>
        <v>VW Polo 1.6 CWVA</v>
      </c>
      <c r="C28" s="7" t="s">
        <v>177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178</v>
      </c>
    </row>
    <row r="29" customFormat="false" ht="15" hidden="false" customHeight="false" outlineLevel="0" collapsed="false">
      <c r="A29" s="6" t="s">
        <v>55</v>
      </c>
      <c r="B29" s="7" t="str">
        <f aca="false">IFERROR(INDEX(Киты!$C:$C,MATCH(A29,Киты!$A:$A,0)),"")</f>
        <v>VW Polo 1.6 CWVA</v>
      </c>
      <c r="C29" s="7" t="s">
        <v>173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55</v>
      </c>
      <c r="B30" s="7" t="str">
        <f aca="false">IFERROR(INDEX(Киты!$C:$C,MATCH(A30,Киты!$A:$A,0)),"")</f>
        <v>VW Polo 1.6 CWVA</v>
      </c>
      <c r="C30" s="7" t="s">
        <v>179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55</v>
      </c>
      <c r="B31" s="7" t="str">
        <f aca="false">IFERROR(INDEX(Киты!$C:$C,MATCH(A31,Киты!$A:$A,0)),"")</f>
        <v>VW Polo 1.6 CWVA</v>
      </c>
      <c r="C31" s="7" t="s">
        <v>180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55</v>
      </c>
      <c r="B32" s="7" t="str">
        <f aca="false">IFERROR(INDEX(Киты!$C:$C,MATCH(A32,Киты!$A:$A,0)),"")</f>
        <v>VW Polo 1.6 CWVA</v>
      </c>
      <c r="C32" s="7" t="s">
        <v>181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61</v>
      </c>
      <c r="B33" s="7" t="str">
        <f aca="false">IFERROR(INDEX(Киты!$C:$C,MATCH(A33,Киты!$A:$A,0)),"")</f>
        <v>Haval Jolion 1.5T</v>
      </c>
      <c r="C33" s="7" t="s">
        <v>177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178</v>
      </c>
    </row>
    <row r="34" customFormat="false" ht="15" hidden="false" customHeight="false" outlineLevel="0" collapsed="false">
      <c r="A34" s="6" t="s">
        <v>61</v>
      </c>
      <c r="B34" s="7" t="str">
        <f aca="false">IFERROR(INDEX(Киты!$C:$C,MATCH(A34,Киты!$A:$A,0)),"")</f>
        <v>Haval Jolion 1.5T</v>
      </c>
      <c r="C34" s="7" t="s">
        <v>182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183</v>
      </c>
    </row>
    <row r="35" customFormat="false" ht="15" hidden="false" customHeight="false" outlineLevel="0" collapsed="false">
      <c r="A35" s="6" t="s">
        <v>61</v>
      </c>
      <c r="B35" s="7" t="str">
        <f aca="false">IFERROR(INDEX(Киты!$C:$C,MATCH(A35,Киты!$A:$A,0)),"")</f>
        <v>Haval Jolion 1.5T</v>
      </c>
      <c r="C35" s="7" t="s">
        <v>173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61</v>
      </c>
      <c r="B36" s="7" t="str">
        <f aca="false">IFERROR(INDEX(Киты!$C:$C,MATCH(A36,Киты!$A:$A,0)),"")</f>
        <v>Haval Jolion 1.5T</v>
      </c>
      <c r="C36" s="7" t="s">
        <v>179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61</v>
      </c>
      <c r="B37" s="7" t="str">
        <f aca="false">IFERROR(INDEX(Киты!$C:$C,MATCH(A37,Киты!$A:$A,0)),"")</f>
        <v>Haval Jolion 1.5T</v>
      </c>
      <c r="C37" s="7" t="s">
        <v>180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61</v>
      </c>
      <c r="B38" s="7" t="str">
        <f aca="false">IFERROR(INDEX(Киты!$C:$C,MATCH(A38,Киты!$A:$A,0)),"")</f>
        <v>Haval Jolion 1.5T</v>
      </c>
      <c r="C38" s="7" t="s">
        <v>181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66</v>
      </c>
      <c r="B39" s="7" t="str">
        <f aca="false">IFERROR(INDEX(Киты!$C:$C,MATCH(A39,Киты!$A:$A,0)),"")</f>
        <v>Haval F7 / F7x 1.5T</v>
      </c>
      <c r="C39" s="7" t="s">
        <v>177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178</v>
      </c>
    </row>
    <row r="40" customFormat="false" ht="15" hidden="false" customHeight="false" outlineLevel="0" collapsed="false">
      <c r="A40" s="6" t="s">
        <v>66</v>
      </c>
      <c r="B40" s="7" t="str">
        <f aca="false">IFERROR(INDEX(Киты!$C:$C,MATCH(A40,Киты!$A:$A,0)),"")</f>
        <v>Haval F7 / F7x 1.5T</v>
      </c>
      <c r="C40" s="7" t="s">
        <v>182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183</v>
      </c>
    </row>
    <row r="41" customFormat="false" ht="15" hidden="false" customHeight="false" outlineLevel="0" collapsed="false">
      <c r="A41" s="6" t="s">
        <v>66</v>
      </c>
      <c r="B41" s="7" t="str">
        <f aca="false">IFERROR(INDEX(Киты!$C:$C,MATCH(A41,Киты!$A:$A,0)),"")</f>
        <v>Haval F7 / F7x 1.5T</v>
      </c>
      <c r="C41" s="7" t="s">
        <v>173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66</v>
      </c>
      <c r="B42" s="7" t="str">
        <f aca="false">IFERROR(INDEX(Киты!$C:$C,MATCH(A42,Киты!$A:$A,0)),"")</f>
        <v>Haval F7 / F7x 1.5T</v>
      </c>
      <c r="C42" s="7" t="s">
        <v>179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66</v>
      </c>
      <c r="B43" s="7" t="str">
        <f aca="false">IFERROR(INDEX(Киты!$C:$C,MATCH(A43,Киты!$A:$A,0)),"")</f>
        <v>Haval F7 / F7x 1.5T</v>
      </c>
      <c r="C43" s="7" t="s">
        <v>180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66</v>
      </c>
      <c r="B44" s="7" t="str">
        <f aca="false">IFERROR(INDEX(Киты!$C:$C,MATCH(A44,Киты!$A:$A,0)),"")</f>
        <v>Haval F7 / F7x 1.5T</v>
      </c>
      <c r="C44" s="7" t="s">
        <v>181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71</v>
      </c>
      <c r="B45" s="7" t="str">
        <f aca="false">IFERROR(INDEX(Киты!$C:$C,MATCH(A45,Киты!$A:$A,0)),"")</f>
        <v>Haval F7 / F7x 2.0T</v>
      </c>
      <c r="C45" s="7" t="s">
        <v>177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178</v>
      </c>
    </row>
    <row r="46" customFormat="false" ht="15" hidden="false" customHeight="false" outlineLevel="0" collapsed="false">
      <c r="A46" s="6" t="s">
        <v>71</v>
      </c>
      <c r="B46" s="7" t="str">
        <f aca="false">IFERROR(INDEX(Киты!$C:$C,MATCH(A46,Киты!$A:$A,0)),"")</f>
        <v>Haval F7 / F7x 2.0T</v>
      </c>
      <c r="C46" s="7" t="s">
        <v>182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183</v>
      </c>
    </row>
    <row r="47" customFormat="false" ht="15" hidden="false" customHeight="false" outlineLevel="0" collapsed="false">
      <c r="A47" s="6" t="s">
        <v>71</v>
      </c>
      <c r="B47" s="7" t="str">
        <f aca="false">IFERROR(INDEX(Киты!$C:$C,MATCH(A47,Киты!$A:$A,0)),"")</f>
        <v>Haval F7 / F7x 2.0T</v>
      </c>
      <c r="C47" s="7" t="s">
        <v>173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71</v>
      </c>
      <c r="B48" s="7" t="str">
        <f aca="false">IFERROR(INDEX(Киты!$C:$C,MATCH(A48,Киты!$A:$A,0)),"")</f>
        <v>Haval F7 / F7x 2.0T</v>
      </c>
      <c r="C48" s="7" t="s">
        <v>179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71</v>
      </c>
      <c r="B49" s="7" t="str">
        <f aca="false">IFERROR(INDEX(Киты!$C:$C,MATCH(A49,Киты!$A:$A,0)),"")</f>
        <v>Haval F7 / F7x 2.0T</v>
      </c>
      <c r="C49" s="7" t="s">
        <v>180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71</v>
      </c>
      <c r="B50" s="7" t="str">
        <f aca="false">IFERROR(INDEX(Киты!$C:$C,MATCH(A50,Киты!$A:$A,0)),"")</f>
        <v>Haval F7 / F7x 2.0T</v>
      </c>
      <c r="C50" s="7" t="s">
        <v>181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76</v>
      </c>
      <c r="B51" s="7" t="str">
        <f aca="false">IFERROR(INDEX(Киты!$C:$C,MATCH(A51,Киты!$A:$A,0)),"")</f>
        <v>Chery Tiggo 7 Pro 1.5T</v>
      </c>
      <c r="C51" s="7" t="s">
        <v>177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178</v>
      </c>
    </row>
    <row r="52" customFormat="false" ht="15" hidden="false" customHeight="false" outlineLevel="0" collapsed="false">
      <c r="A52" s="6" t="s">
        <v>76</v>
      </c>
      <c r="B52" s="7" t="str">
        <f aca="false">IFERROR(INDEX(Киты!$C:$C,MATCH(A52,Киты!$A:$A,0)),"")</f>
        <v>Chery Tiggo 7 Pro 1.5T</v>
      </c>
      <c r="C52" s="7" t="s">
        <v>182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183</v>
      </c>
    </row>
    <row r="53" customFormat="false" ht="15" hidden="false" customHeight="false" outlineLevel="0" collapsed="false">
      <c r="A53" s="6" t="s">
        <v>76</v>
      </c>
      <c r="B53" s="7" t="str">
        <f aca="false">IFERROR(INDEX(Киты!$C:$C,MATCH(A53,Киты!$A:$A,0)),"")</f>
        <v>Chery Tiggo 7 Pro 1.5T</v>
      </c>
      <c r="C53" s="7" t="s">
        <v>173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76</v>
      </c>
      <c r="B54" s="7" t="str">
        <f aca="false">IFERROR(INDEX(Киты!$C:$C,MATCH(A54,Киты!$A:$A,0)),"")</f>
        <v>Chery Tiggo 7 Pro 1.5T</v>
      </c>
      <c r="C54" s="7" t="s">
        <v>179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76</v>
      </c>
      <c r="B55" s="7" t="str">
        <f aca="false">IFERROR(INDEX(Киты!$C:$C,MATCH(A55,Киты!$A:$A,0)),"")</f>
        <v>Chery Tiggo 7 Pro 1.5T</v>
      </c>
      <c r="C55" s="7" t="s">
        <v>180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76</v>
      </c>
      <c r="B56" s="7" t="str">
        <f aca="false">IFERROR(INDEX(Киты!$C:$C,MATCH(A56,Киты!$A:$A,0)),"")</f>
        <v>Chery Tiggo 7 Pro 1.5T</v>
      </c>
      <c r="C56" s="7" t="s">
        <v>181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81</v>
      </c>
      <c r="B57" s="7" t="str">
        <f aca="false">IFERROR(INDEX(Киты!$C:$C,MATCH(A57,Киты!$A:$A,0)),"")</f>
        <v>Chery Tiggo 4 Pro 1.5T</v>
      </c>
      <c r="C57" s="7" t="s">
        <v>177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178</v>
      </c>
    </row>
    <row r="58" customFormat="false" ht="15" hidden="false" customHeight="false" outlineLevel="0" collapsed="false">
      <c r="A58" s="6" t="s">
        <v>81</v>
      </c>
      <c r="B58" s="7" t="str">
        <f aca="false">IFERROR(INDEX(Киты!$C:$C,MATCH(A58,Киты!$A:$A,0)),"")</f>
        <v>Chery Tiggo 4 Pro 1.5T</v>
      </c>
      <c r="C58" s="7" t="s">
        <v>182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183</v>
      </c>
    </row>
    <row r="59" customFormat="false" ht="15" hidden="false" customHeight="false" outlineLevel="0" collapsed="false">
      <c r="A59" s="6" t="s">
        <v>81</v>
      </c>
      <c r="B59" s="7" t="str">
        <f aca="false">IFERROR(INDEX(Киты!$C:$C,MATCH(A59,Киты!$A:$A,0)),"")</f>
        <v>Chery Tiggo 4 Pro 1.5T</v>
      </c>
      <c r="C59" s="7" t="s">
        <v>173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81</v>
      </c>
      <c r="B60" s="7" t="str">
        <f aca="false">IFERROR(INDEX(Киты!$C:$C,MATCH(A60,Киты!$A:$A,0)),"")</f>
        <v>Chery Tiggo 4 Pro 1.5T</v>
      </c>
      <c r="C60" s="7" t="s">
        <v>179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81</v>
      </c>
      <c r="B61" s="7" t="str">
        <f aca="false">IFERROR(INDEX(Киты!$C:$C,MATCH(A61,Киты!$A:$A,0)),"")</f>
        <v>Chery Tiggo 4 Pro 1.5T</v>
      </c>
      <c r="C61" s="7" t="s">
        <v>180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81</v>
      </c>
      <c r="B62" s="7" t="str">
        <f aca="false">IFERROR(INDEX(Киты!$C:$C,MATCH(A62,Киты!$A:$A,0)),"")</f>
        <v>Chery Tiggo 4 Pro 1.5T</v>
      </c>
      <c r="C62" s="7" t="s">
        <v>181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85</v>
      </c>
      <c r="B63" s="7" t="str">
        <f aca="false">IFERROR(INDEX(Киты!$C:$C,MATCH(A63,Киты!$A:$A,0)),"")</f>
        <v>Geely Coolray 1.5T</v>
      </c>
      <c r="C63" s="7" t="s">
        <v>177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178</v>
      </c>
    </row>
    <row r="64" customFormat="false" ht="15" hidden="false" customHeight="false" outlineLevel="0" collapsed="false">
      <c r="A64" s="6" t="s">
        <v>85</v>
      </c>
      <c r="B64" s="7" t="str">
        <f aca="false">IFERROR(INDEX(Киты!$C:$C,MATCH(A64,Киты!$A:$A,0)),"")</f>
        <v>Geely Coolray 1.5T</v>
      </c>
      <c r="C64" s="7" t="s">
        <v>182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183</v>
      </c>
    </row>
    <row r="65" customFormat="false" ht="15" hidden="false" customHeight="false" outlineLevel="0" collapsed="false">
      <c r="A65" s="6" t="s">
        <v>85</v>
      </c>
      <c r="B65" s="7" t="str">
        <f aca="false">IFERROR(INDEX(Киты!$C:$C,MATCH(A65,Киты!$A:$A,0)),"")</f>
        <v>Geely Coolray 1.5T</v>
      </c>
      <c r="C65" s="7" t="s">
        <v>173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85</v>
      </c>
      <c r="B66" s="7" t="str">
        <f aca="false">IFERROR(INDEX(Киты!$C:$C,MATCH(A66,Киты!$A:$A,0)),"")</f>
        <v>Geely Coolray 1.5T</v>
      </c>
      <c r="C66" s="7" t="s">
        <v>179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85</v>
      </c>
      <c r="B67" s="7" t="str">
        <f aca="false">IFERROR(INDEX(Киты!$C:$C,MATCH(A67,Киты!$A:$A,0)),"")</f>
        <v>Geely Coolray 1.5T</v>
      </c>
      <c r="C67" s="7" t="s">
        <v>180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85</v>
      </c>
      <c r="B68" s="7" t="str">
        <f aca="false">IFERROR(INDEX(Киты!$C:$C,MATCH(A68,Киты!$A:$A,0)),"")</f>
        <v>Geely Coolray 1.5T</v>
      </c>
      <c r="C68" s="7" t="s">
        <v>181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91</v>
      </c>
      <c r="B69" s="7" t="str">
        <f aca="false">IFERROR(INDEX(Киты!$C:$C,MATCH(A69,Киты!$A:$A,0)),"")</f>
        <v>Kia Picanto 1.0 / 1.2</v>
      </c>
      <c r="C69" s="7" t="s">
        <v>177</v>
      </c>
      <c r="D69" s="14" t="n">
        <v>1</v>
      </c>
      <c r="E69" s="14" t="s">
        <v>184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185</v>
      </c>
    </row>
    <row r="70" customFormat="false" ht="15" hidden="false" customHeight="false" outlineLevel="0" collapsed="false">
      <c r="A70" s="6" t="s">
        <v>91</v>
      </c>
      <c r="B70" s="7" t="str">
        <f aca="false">IFERROR(INDEX(Киты!$C:$C,MATCH(A70,Киты!$A:$A,0)),"")</f>
        <v>Kia Picanto 1.0 / 1.2</v>
      </c>
      <c r="C70" s="7" t="s">
        <v>173</v>
      </c>
      <c r="D70" s="14" t="n">
        <v>1</v>
      </c>
      <c r="E70" s="14" t="s">
        <v>186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187</v>
      </c>
    </row>
    <row r="71" customFormat="false" ht="15" hidden="false" customHeight="false" outlineLevel="0" collapsed="false">
      <c r="A71" s="6" t="s">
        <v>91</v>
      </c>
      <c r="B71" s="7" t="str">
        <f aca="false">IFERROR(INDEX(Киты!$C:$C,MATCH(A71,Киты!$A:$A,0)),"")</f>
        <v>Kia Picanto 1.0 / 1.2</v>
      </c>
      <c r="C71" s="7" t="s">
        <v>179</v>
      </c>
      <c r="D71" s="14" t="n">
        <v>1</v>
      </c>
      <c r="E71" s="14" t="s">
        <v>186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188</v>
      </c>
    </row>
    <row r="72" customFormat="false" ht="15" hidden="false" customHeight="false" outlineLevel="0" collapsed="false">
      <c r="A72" s="6" t="s">
        <v>91</v>
      </c>
      <c r="B72" s="7" t="str">
        <f aca="false">IFERROR(INDEX(Киты!$C:$C,MATCH(A72,Киты!$A:$A,0)),"")</f>
        <v>Kia Picanto 1.0 / 1.2</v>
      </c>
      <c r="C72" s="7" t="s">
        <v>180</v>
      </c>
      <c r="D72" s="14" t="n">
        <v>1</v>
      </c>
      <c r="E72" s="14" t="s">
        <v>189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190</v>
      </c>
    </row>
    <row r="73" customFormat="false" ht="15" hidden="false" customHeight="false" outlineLevel="0" collapsed="false">
      <c r="A73" s="6" t="s">
        <v>96</v>
      </c>
      <c r="B73" s="7" t="str">
        <f aca="false">IFERROR(INDEX(Киты!$C:$C,MATCH(A73,Киты!$A:$A,0)),"")</f>
        <v>VW Jetta</v>
      </c>
      <c r="C73" s="7" t="s">
        <v>177</v>
      </c>
      <c r="D73" s="14" t="n">
        <v>1</v>
      </c>
      <c r="E73" s="14" t="s">
        <v>191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192</v>
      </c>
    </row>
    <row r="74" customFormat="false" ht="15" hidden="false" customHeight="false" outlineLevel="0" collapsed="false">
      <c r="A74" s="6" t="s">
        <v>96</v>
      </c>
      <c r="B74" s="7" t="str">
        <f aca="false">IFERROR(INDEX(Киты!$C:$C,MATCH(A74,Киты!$A:$A,0)),"")</f>
        <v>VW Jetta</v>
      </c>
      <c r="C74" s="7" t="s">
        <v>173</v>
      </c>
      <c r="D74" s="14" t="n">
        <v>1</v>
      </c>
      <c r="E74" s="14" t="s">
        <v>186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193</v>
      </c>
    </row>
    <row r="75" customFormat="false" ht="15" hidden="false" customHeight="false" outlineLevel="0" collapsed="false">
      <c r="A75" s="6" t="s">
        <v>96</v>
      </c>
      <c r="B75" s="7" t="str">
        <f aca="false">IFERROR(INDEX(Киты!$C:$C,MATCH(A75,Киты!$A:$A,0)),"")</f>
        <v>VW Jetta</v>
      </c>
      <c r="C75" s="7" t="s">
        <v>179</v>
      </c>
      <c r="D75" s="14" t="n">
        <v>1</v>
      </c>
      <c r="E75" s="14" t="s">
        <v>194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195</v>
      </c>
    </row>
    <row r="76" customFormat="false" ht="15" hidden="false" customHeight="false" outlineLevel="0" collapsed="false">
      <c r="A76" s="6" t="s">
        <v>96</v>
      </c>
      <c r="B76" s="7" t="str">
        <f aca="false">IFERROR(INDEX(Киты!$C:$C,MATCH(A76,Киты!$A:$A,0)),"")</f>
        <v>VW Jetta</v>
      </c>
      <c r="C76" s="7" t="s">
        <v>180</v>
      </c>
      <c r="D76" s="14" t="n">
        <v>1</v>
      </c>
      <c r="E76" s="14" t="s">
        <v>194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196</v>
      </c>
    </row>
    <row r="77" customFormat="false" ht="15" hidden="false" customHeight="false" outlineLevel="0" collapsed="false">
      <c r="A77" s="6" t="s">
        <v>102</v>
      </c>
      <c r="B77" s="7" t="str">
        <f aca="false">IFERROR(INDEX(Киты!$C:$C,MATCH(A77,Киты!$A:$A,0)),"")</f>
        <v>Hyundai Solaris 2010–2017</v>
      </c>
      <c r="C77" s="7" t="s">
        <v>197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198</v>
      </c>
    </row>
    <row r="78" customFormat="false" ht="15" hidden="false" customHeight="false" outlineLevel="0" collapsed="false">
      <c r="A78" s="6" t="s">
        <v>102</v>
      </c>
      <c r="B78" s="7" t="str">
        <f aca="false">IFERROR(INDEX(Киты!$C:$C,MATCH(A78,Киты!$A:$A,0)),"")</f>
        <v>Hyundai Solaris 2010–2017</v>
      </c>
      <c r="C78" s="7" t="s">
        <v>199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102</v>
      </c>
      <c r="B79" s="7" t="str">
        <f aca="false">IFERROR(INDEX(Киты!$C:$C,MATCH(A79,Киты!$A:$A,0)),"")</f>
        <v>Hyundai Solaris 2010–2017</v>
      </c>
      <c r="C79" s="7" t="s">
        <v>200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102</v>
      </c>
      <c r="B80" s="7" t="str">
        <f aca="false">IFERROR(INDEX(Киты!$C:$C,MATCH(A80,Киты!$A:$A,0)),"")</f>
        <v>Hyundai Solaris 2010–2017</v>
      </c>
      <c r="C80" s="7" t="s">
        <v>201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202</v>
      </c>
    </row>
    <row r="81" customFormat="false" ht="15" hidden="false" customHeight="false" outlineLevel="0" collapsed="false">
      <c r="A81" s="6" t="s">
        <v>102</v>
      </c>
      <c r="B81" s="7" t="str">
        <f aca="false">IFERROR(INDEX(Киты!$C:$C,MATCH(A81,Киты!$A:$A,0)),"")</f>
        <v>Hyundai Solaris 2010–2017</v>
      </c>
      <c r="C81" s="7" t="s">
        <v>203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204</v>
      </c>
    </row>
    <row r="82" customFormat="false" ht="15" hidden="false" customHeight="false" outlineLevel="0" collapsed="false">
      <c r="A82" s="6" t="s">
        <v>106</v>
      </c>
      <c r="B82" s="7" t="str">
        <f aca="false">IFERROR(INDEX(Киты!$C:$C,MATCH(A82,Киты!$A:$A,0)),"")</f>
        <v>Hyundai Solaris 2017–2022</v>
      </c>
      <c r="C82" s="7" t="s">
        <v>197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198</v>
      </c>
    </row>
    <row r="83" customFormat="false" ht="15" hidden="false" customHeight="false" outlineLevel="0" collapsed="false">
      <c r="A83" s="6" t="s">
        <v>106</v>
      </c>
      <c r="B83" s="7" t="str">
        <f aca="false">IFERROR(INDEX(Киты!$C:$C,MATCH(A83,Киты!$A:$A,0)),"")</f>
        <v>Hyundai Solaris 2017–2022</v>
      </c>
      <c r="C83" s="7" t="s">
        <v>199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106</v>
      </c>
      <c r="B84" s="7" t="str">
        <f aca="false">IFERROR(INDEX(Киты!$C:$C,MATCH(A84,Киты!$A:$A,0)),"")</f>
        <v>Hyundai Solaris 2017–2022</v>
      </c>
      <c r="C84" s="7" t="s">
        <v>200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106</v>
      </c>
      <c r="B85" s="7" t="str">
        <f aca="false">IFERROR(INDEX(Киты!$C:$C,MATCH(A85,Киты!$A:$A,0)),"")</f>
        <v>Hyundai Solaris 2017–2022</v>
      </c>
      <c r="C85" s="7" t="s">
        <v>201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202</v>
      </c>
    </row>
    <row r="86" customFormat="false" ht="15" hidden="false" customHeight="false" outlineLevel="0" collapsed="false">
      <c r="A86" s="6" t="s">
        <v>106</v>
      </c>
      <c r="B86" s="7" t="str">
        <f aca="false">IFERROR(INDEX(Киты!$C:$C,MATCH(A86,Киты!$A:$A,0)),"")</f>
        <v>Hyundai Solaris 2017–2022</v>
      </c>
      <c r="C86" s="7" t="s">
        <v>203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204</v>
      </c>
    </row>
    <row r="87" customFormat="false" ht="15" hidden="false" customHeight="false" outlineLevel="0" collapsed="false">
      <c r="A87" s="6" t="s">
        <v>109</v>
      </c>
      <c r="B87" s="7" t="str">
        <f aca="false">IFERROR(INDEX(Киты!$C:$C,MATCH(A87,Киты!$A:$A,0)),"")</f>
        <v>Kia Rio 2011–2017</v>
      </c>
      <c r="C87" s="7" t="s">
        <v>197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198</v>
      </c>
    </row>
    <row r="88" customFormat="false" ht="15" hidden="false" customHeight="false" outlineLevel="0" collapsed="false">
      <c r="A88" s="6" t="s">
        <v>109</v>
      </c>
      <c r="B88" s="7" t="str">
        <f aca="false">IFERROR(INDEX(Киты!$C:$C,MATCH(A88,Киты!$A:$A,0)),"")</f>
        <v>Kia Rio 2011–2017</v>
      </c>
      <c r="C88" s="7" t="s">
        <v>199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109</v>
      </c>
      <c r="B89" s="7" t="str">
        <f aca="false">IFERROR(INDEX(Киты!$C:$C,MATCH(A89,Киты!$A:$A,0)),"")</f>
        <v>Kia Rio 2011–2017</v>
      </c>
      <c r="C89" s="7" t="s">
        <v>200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109</v>
      </c>
      <c r="B90" s="7" t="str">
        <f aca="false">IFERROR(INDEX(Киты!$C:$C,MATCH(A90,Киты!$A:$A,0)),"")</f>
        <v>Kia Rio 2011–2017</v>
      </c>
      <c r="C90" s="7" t="s">
        <v>201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202</v>
      </c>
    </row>
    <row r="91" customFormat="false" ht="15" hidden="false" customHeight="false" outlineLevel="0" collapsed="false">
      <c r="A91" s="6" t="s">
        <v>109</v>
      </c>
      <c r="B91" s="7" t="str">
        <f aca="false">IFERROR(INDEX(Киты!$C:$C,MATCH(A91,Киты!$A:$A,0)),"")</f>
        <v>Kia Rio 2011–2017</v>
      </c>
      <c r="C91" s="7" t="s">
        <v>203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204</v>
      </c>
    </row>
    <row r="92" customFormat="false" ht="15" hidden="false" customHeight="false" outlineLevel="0" collapsed="false">
      <c r="A92" s="6" t="s">
        <v>112</v>
      </c>
      <c r="B92" s="7" t="str">
        <f aca="false">IFERROR(INDEX(Киты!$C:$C,MATCH(A92,Киты!$A:$A,0)),"")</f>
        <v>Kia Rio 2017–2021</v>
      </c>
      <c r="C92" s="7" t="s">
        <v>197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198</v>
      </c>
    </row>
    <row r="93" customFormat="false" ht="15" hidden="false" customHeight="false" outlineLevel="0" collapsed="false">
      <c r="A93" s="6" t="s">
        <v>112</v>
      </c>
      <c r="B93" s="7" t="str">
        <f aca="false">IFERROR(INDEX(Киты!$C:$C,MATCH(A93,Киты!$A:$A,0)),"")</f>
        <v>Kia Rio 2017–2021</v>
      </c>
      <c r="C93" s="7" t="s">
        <v>199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112</v>
      </c>
      <c r="B94" s="7" t="str">
        <f aca="false">IFERROR(INDEX(Киты!$C:$C,MATCH(A94,Киты!$A:$A,0)),"")</f>
        <v>Kia Rio 2017–2021</v>
      </c>
      <c r="C94" s="7" t="s">
        <v>200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112</v>
      </c>
      <c r="B95" s="7" t="str">
        <f aca="false">IFERROR(INDEX(Киты!$C:$C,MATCH(A95,Киты!$A:$A,0)),"")</f>
        <v>Kia Rio 2017–2021</v>
      </c>
      <c r="C95" s="7" t="s">
        <v>201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202</v>
      </c>
    </row>
    <row r="96" customFormat="false" ht="15" hidden="false" customHeight="false" outlineLevel="0" collapsed="false">
      <c r="A96" s="6" t="s">
        <v>112</v>
      </c>
      <c r="B96" s="7" t="str">
        <f aca="false">IFERROR(INDEX(Киты!$C:$C,MATCH(A96,Киты!$A:$A,0)),"")</f>
        <v>Kia Rio 2017–2021</v>
      </c>
      <c r="C96" s="7" t="s">
        <v>203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204</v>
      </c>
    </row>
    <row r="97" customFormat="false" ht="15" hidden="false" customHeight="false" outlineLevel="0" collapsed="false">
      <c r="A97" s="6" t="s">
        <v>115</v>
      </c>
      <c r="B97" s="7" t="str">
        <f aca="false">IFERROR(INDEX(Киты!$C:$C,MATCH(A97,Киты!$A:$A,0)),"")</f>
        <v>VW Polo 1.6 CFNA</v>
      </c>
      <c r="C97" s="7" t="s">
        <v>197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198</v>
      </c>
    </row>
    <row r="98" customFormat="false" ht="15" hidden="false" customHeight="false" outlineLevel="0" collapsed="false">
      <c r="A98" s="6" t="s">
        <v>115</v>
      </c>
      <c r="B98" s="7" t="str">
        <f aca="false">IFERROR(INDEX(Киты!$C:$C,MATCH(A98,Киты!$A:$A,0)),"")</f>
        <v>VW Polo 1.6 CFNA</v>
      </c>
      <c r="C98" s="7" t="s">
        <v>199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115</v>
      </c>
      <c r="B99" s="7" t="str">
        <f aca="false">IFERROR(INDEX(Киты!$C:$C,MATCH(A99,Киты!$A:$A,0)),"")</f>
        <v>VW Polo 1.6 CFNA</v>
      </c>
      <c r="C99" s="7" t="s">
        <v>200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115</v>
      </c>
      <c r="B100" s="7" t="str">
        <f aca="false">IFERROR(INDEX(Киты!$C:$C,MATCH(A100,Киты!$A:$A,0)),"")</f>
        <v>VW Polo 1.6 CFNA</v>
      </c>
      <c r="C100" s="7" t="s">
        <v>201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202</v>
      </c>
    </row>
    <row r="101" customFormat="false" ht="15" hidden="false" customHeight="false" outlineLevel="0" collapsed="false">
      <c r="A101" s="6" t="s">
        <v>115</v>
      </c>
      <c r="B101" s="7" t="str">
        <f aca="false">IFERROR(INDEX(Киты!$C:$C,MATCH(A101,Киты!$A:$A,0)),"")</f>
        <v>VW Polo 1.6 CFNA</v>
      </c>
      <c r="C101" s="7" t="s">
        <v>203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204</v>
      </c>
    </row>
    <row r="102" customFormat="false" ht="15" hidden="false" customHeight="false" outlineLevel="0" collapsed="false">
      <c r="A102" s="6" t="s">
        <v>119</v>
      </c>
      <c r="B102" s="7" t="str">
        <f aca="false">IFERROR(INDEX(Киты!$C:$C,MATCH(A102,Киты!$A:$A,0)),"")</f>
        <v>VW Polo 1.6 CWVA</v>
      </c>
      <c r="C102" s="7" t="s">
        <v>205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119</v>
      </c>
      <c r="B103" s="7" t="str">
        <f aca="false">IFERROR(INDEX(Киты!$C:$C,MATCH(A103,Киты!$A:$A,0)),"")</f>
        <v>VW Polo 1.6 CWVA</v>
      </c>
      <c r="C103" s="7" t="s">
        <v>201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202</v>
      </c>
    </row>
    <row r="104" customFormat="false" ht="15" hidden="false" customHeight="false" outlineLevel="0" collapsed="false">
      <c r="A104" s="6" t="s">
        <v>119</v>
      </c>
      <c r="B104" s="7" t="str">
        <f aca="false">IFERROR(INDEX(Киты!$C:$C,MATCH(A104,Киты!$A:$A,0)),"")</f>
        <v>VW Polo 1.6 CWVA</v>
      </c>
      <c r="C104" s="7" t="s">
        <v>203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204</v>
      </c>
    </row>
    <row r="105" customFormat="false" ht="15" hidden="false" customHeight="false" outlineLevel="0" collapsed="false">
      <c r="A105" s="6" t="s">
        <v>122</v>
      </c>
      <c r="B105" s="7" t="str">
        <f aca="false">IFERROR(INDEX(Киты!$C:$C,MATCH(A105,Киты!$A:$A,0)),"")</f>
        <v>Haval Jolion 1.5T</v>
      </c>
      <c r="C105" s="7" t="s">
        <v>197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198</v>
      </c>
    </row>
    <row r="106" customFormat="false" ht="15" hidden="false" customHeight="false" outlineLevel="0" collapsed="false">
      <c r="A106" s="6" t="s">
        <v>122</v>
      </c>
      <c r="B106" s="7" t="str">
        <f aca="false">IFERROR(INDEX(Киты!$C:$C,MATCH(A106,Киты!$A:$A,0)),"")</f>
        <v>Haval Jolion 1.5T</v>
      </c>
      <c r="C106" s="7" t="s">
        <v>199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122</v>
      </c>
      <c r="B107" s="7" t="str">
        <f aca="false">IFERROR(INDEX(Киты!$C:$C,MATCH(A107,Киты!$A:$A,0)),"")</f>
        <v>Haval Jolion 1.5T</v>
      </c>
      <c r="C107" s="7" t="s">
        <v>200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122</v>
      </c>
      <c r="B108" s="7" t="str">
        <f aca="false">IFERROR(INDEX(Киты!$C:$C,MATCH(A108,Киты!$A:$A,0)),"")</f>
        <v>Haval Jolion 1.5T</v>
      </c>
      <c r="C108" s="7" t="s">
        <v>201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202</v>
      </c>
    </row>
    <row r="109" customFormat="false" ht="15" hidden="false" customHeight="false" outlineLevel="0" collapsed="false">
      <c r="A109" s="6" t="s">
        <v>122</v>
      </c>
      <c r="B109" s="7" t="str">
        <f aca="false">IFERROR(INDEX(Киты!$C:$C,MATCH(A109,Киты!$A:$A,0)),"")</f>
        <v>Haval Jolion 1.5T</v>
      </c>
      <c r="C109" s="7" t="s">
        <v>203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204</v>
      </c>
    </row>
    <row r="110" customFormat="false" ht="15" hidden="false" customHeight="false" outlineLevel="0" collapsed="false">
      <c r="A110" s="6" t="s">
        <v>125</v>
      </c>
      <c r="B110" s="7" t="str">
        <f aca="false">IFERROR(INDEX(Киты!$C:$C,MATCH(A110,Киты!$A:$A,0)),"")</f>
        <v>Haval F7 / F7x 1.5T</v>
      </c>
      <c r="C110" s="7" t="s">
        <v>197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198</v>
      </c>
    </row>
    <row r="111" customFormat="false" ht="15" hidden="false" customHeight="false" outlineLevel="0" collapsed="false">
      <c r="A111" s="6" t="s">
        <v>125</v>
      </c>
      <c r="B111" s="7" t="str">
        <f aca="false">IFERROR(INDEX(Киты!$C:$C,MATCH(A111,Киты!$A:$A,0)),"")</f>
        <v>Haval F7 / F7x 1.5T</v>
      </c>
      <c r="C111" s="7" t="s">
        <v>199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125</v>
      </c>
      <c r="B112" s="7" t="str">
        <f aca="false">IFERROR(INDEX(Киты!$C:$C,MATCH(A112,Киты!$A:$A,0)),"")</f>
        <v>Haval F7 / F7x 1.5T</v>
      </c>
      <c r="C112" s="7" t="s">
        <v>200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125</v>
      </c>
      <c r="B113" s="7" t="str">
        <f aca="false">IFERROR(INDEX(Киты!$C:$C,MATCH(A113,Киты!$A:$A,0)),"")</f>
        <v>Haval F7 / F7x 1.5T</v>
      </c>
      <c r="C113" s="7" t="s">
        <v>201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202</v>
      </c>
    </row>
    <row r="114" customFormat="false" ht="15" hidden="false" customHeight="false" outlineLevel="0" collapsed="false">
      <c r="A114" s="6" t="s">
        <v>125</v>
      </c>
      <c r="B114" s="7" t="str">
        <f aca="false">IFERROR(INDEX(Киты!$C:$C,MATCH(A114,Киты!$A:$A,0)),"")</f>
        <v>Haval F7 / F7x 1.5T</v>
      </c>
      <c r="C114" s="7" t="s">
        <v>203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204</v>
      </c>
    </row>
    <row r="115" customFormat="false" ht="15" hidden="false" customHeight="false" outlineLevel="0" collapsed="false">
      <c r="A115" s="6" t="s">
        <v>128</v>
      </c>
      <c r="B115" s="7" t="str">
        <f aca="false">IFERROR(INDEX(Киты!$C:$C,MATCH(A115,Киты!$A:$A,0)),"")</f>
        <v>Haval F7 / F7x 2.0T</v>
      </c>
      <c r="C115" s="7" t="s">
        <v>197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198</v>
      </c>
    </row>
    <row r="116" customFormat="false" ht="15" hidden="false" customHeight="false" outlineLevel="0" collapsed="false">
      <c r="A116" s="6" t="s">
        <v>128</v>
      </c>
      <c r="B116" s="7" t="str">
        <f aca="false">IFERROR(INDEX(Киты!$C:$C,MATCH(A116,Киты!$A:$A,0)),"")</f>
        <v>Haval F7 / F7x 2.0T</v>
      </c>
      <c r="C116" s="7" t="s">
        <v>199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128</v>
      </c>
      <c r="B117" s="7" t="str">
        <f aca="false">IFERROR(INDEX(Киты!$C:$C,MATCH(A117,Киты!$A:$A,0)),"")</f>
        <v>Haval F7 / F7x 2.0T</v>
      </c>
      <c r="C117" s="7" t="s">
        <v>200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128</v>
      </c>
      <c r="B118" s="7" t="str">
        <f aca="false">IFERROR(INDEX(Киты!$C:$C,MATCH(A118,Киты!$A:$A,0)),"")</f>
        <v>Haval F7 / F7x 2.0T</v>
      </c>
      <c r="C118" s="7" t="s">
        <v>201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202</v>
      </c>
    </row>
    <row r="119" customFormat="false" ht="15" hidden="false" customHeight="false" outlineLevel="0" collapsed="false">
      <c r="A119" s="6" t="s">
        <v>128</v>
      </c>
      <c r="B119" s="7" t="str">
        <f aca="false">IFERROR(INDEX(Киты!$C:$C,MATCH(A119,Киты!$A:$A,0)),"")</f>
        <v>Haval F7 / F7x 2.0T</v>
      </c>
      <c r="C119" s="7" t="s">
        <v>203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204</v>
      </c>
    </row>
    <row r="120" customFormat="false" ht="15" hidden="false" customHeight="false" outlineLevel="0" collapsed="false">
      <c r="A120" s="6" t="s">
        <v>131</v>
      </c>
      <c r="B120" s="7" t="str">
        <f aca="false">IFERROR(INDEX(Киты!$C:$C,MATCH(A120,Киты!$A:$A,0)),"")</f>
        <v>Chery Tiggo 7 Pro / 4 Pro 1.5T</v>
      </c>
      <c r="C120" s="7" t="s">
        <v>197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198</v>
      </c>
    </row>
    <row r="121" customFormat="false" ht="15" hidden="false" customHeight="false" outlineLevel="0" collapsed="false">
      <c r="A121" s="6" t="s">
        <v>131</v>
      </c>
      <c r="B121" s="7" t="str">
        <f aca="false">IFERROR(INDEX(Киты!$C:$C,MATCH(A121,Киты!$A:$A,0)),"")</f>
        <v>Chery Tiggo 7 Pro / 4 Pro 1.5T</v>
      </c>
      <c r="C121" s="7" t="s">
        <v>199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131</v>
      </c>
      <c r="B122" s="7" t="str">
        <f aca="false">IFERROR(INDEX(Киты!$C:$C,MATCH(A122,Киты!$A:$A,0)),"")</f>
        <v>Chery Tiggo 7 Pro / 4 Pro 1.5T</v>
      </c>
      <c r="C122" s="7" t="s">
        <v>200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131</v>
      </c>
      <c r="B123" s="7" t="str">
        <f aca="false">IFERROR(INDEX(Киты!$C:$C,MATCH(A123,Киты!$A:$A,0)),"")</f>
        <v>Chery Tiggo 7 Pro / 4 Pro 1.5T</v>
      </c>
      <c r="C123" s="7" t="s">
        <v>201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202</v>
      </c>
    </row>
    <row r="124" customFormat="false" ht="15" hidden="false" customHeight="false" outlineLevel="0" collapsed="false">
      <c r="A124" s="6" t="s">
        <v>131</v>
      </c>
      <c r="B124" s="7" t="str">
        <f aca="false">IFERROR(INDEX(Киты!$C:$C,MATCH(A124,Киты!$A:$A,0)),"")</f>
        <v>Chery Tiggo 7 Pro / 4 Pro 1.5T</v>
      </c>
      <c r="C124" s="7" t="s">
        <v>203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204</v>
      </c>
    </row>
    <row r="125" customFormat="false" ht="15" hidden="false" customHeight="false" outlineLevel="0" collapsed="false">
      <c r="A125" s="6" t="s">
        <v>136</v>
      </c>
      <c r="B125" s="7" t="str">
        <f aca="false">IFERROR(INDEX(Киты!$C:$C,MATCH(A125,Киты!$A:$A,0)),"")</f>
        <v>Geely Coolray 1.5T</v>
      </c>
      <c r="C125" s="7" t="s">
        <v>205</v>
      </c>
      <c r="D125" s="14" t="n">
        <v>1</v>
      </c>
      <c r="E125" s="14"/>
      <c r="F125" s="14"/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/>
    </row>
    <row r="126" customFormat="false" ht="15" hidden="false" customHeight="false" outlineLevel="0" collapsed="false">
      <c r="A126" s="6" t="s">
        <v>136</v>
      </c>
      <c r="B126" s="7" t="str">
        <f aca="false">IFERROR(INDEX(Киты!$C:$C,MATCH(A126,Киты!$A:$A,0)),"")</f>
        <v>Geely Coolray 1.5T</v>
      </c>
      <c r="C126" s="7" t="s">
        <v>206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207</v>
      </c>
    </row>
    <row r="127" customFormat="false" ht="15" hidden="false" customHeight="false" outlineLevel="0" collapsed="false">
      <c r="A127" s="6" t="s">
        <v>136</v>
      </c>
      <c r="B127" s="7" t="str">
        <f aca="false">IFERROR(INDEX(Киты!$C:$C,MATCH(A127,Киты!$A:$A,0)),"")</f>
        <v>Geely Coolray 1.5T</v>
      </c>
      <c r="C127" s="7" t="s">
        <v>201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202</v>
      </c>
    </row>
    <row r="128" customFormat="false" ht="15" hidden="false" customHeight="false" outlineLevel="0" collapsed="false">
      <c r="A128" s="6" t="s">
        <v>136</v>
      </c>
      <c r="B128" s="7" t="str">
        <f aca="false">IFERROR(INDEX(Киты!$C:$C,MATCH(A128,Киты!$A:$A,0)),"")</f>
        <v>Geely Coolray 1.5T</v>
      </c>
      <c r="C128" s="7" t="s">
        <v>203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208</v>
      </c>
      <c r="B1" s="5" t="s">
        <v>27</v>
      </c>
      <c r="C1" s="5" t="s">
        <v>209</v>
      </c>
      <c r="D1" s="5" t="s">
        <v>210</v>
      </c>
      <c r="E1" s="5" t="s">
        <v>211</v>
      </c>
      <c r="F1" s="5" t="s">
        <v>212</v>
      </c>
      <c r="G1" s="5" t="s">
        <v>213</v>
      </c>
      <c r="H1" s="5" t="s">
        <v>214</v>
      </c>
      <c r="I1" s="5" t="s">
        <v>215</v>
      </c>
      <c r="J1" s="5" t="s">
        <v>216</v>
      </c>
      <c r="K1" s="5" t="s">
        <v>170</v>
      </c>
    </row>
    <row r="2" customFormat="false" ht="15" hidden="false" customHeight="false" outlineLevel="0" collapsed="false">
      <c r="A2" s="16" t="s">
        <v>171</v>
      </c>
      <c r="B2" s="16" t="s">
        <v>217</v>
      </c>
      <c r="C2" s="16" t="s">
        <v>218</v>
      </c>
      <c r="D2" s="16" t="s">
        <v>219</v>
      </c>
      <c r="E2" s="16" t="n">
        <v>1</v>
      </c>
      <c r="F2" s="16" t="s">
        <v>220</v>
      </c>
      <c r="G2" s="16" t="s">
        <v>221</v>
      </c>
      <c r="H2" s="16" t="s">
        <v>222</v>
      </c>
      <c r="I2" s="16" t="s">
        <v>223</v>
      </c>
      <c r="J2" s="16" t="s">
        <v>224</v>
      </c>
      <c r="K2" s="16" t="s">
        <v>172</v>
      </c>
    </row>
    <row r="3" customFormat="false" ht="15" hidden="false" customHeight="false" outlineLevel="0" collapsed="false">
      <c r="A3" s="6" t="s">
        <v>158</v>
      </c>
      <c r="B3" s="14" t="s">
        <v>217</v>
      </c>
      <c r="C3" s="22"/>
      <c r="D3" s="22"/>
      <c r="E3" s="22"/>
      <c r="F3" s="22"/>
      <c r="G3" s="22"/>
      <c r="H3" s="22"/>
      <c r="I3" s="22"/>
      <c r="J3" s="22"/>
      <c r="K3" s="22"/>
    </row>
    <row r="4" customFormat="false" ht="15" hidden="false" customHeight="false" outlineLevel="0" collapsed="false">
      <c r="A4" s="6" t="s">
        <v>159</v>
      </c>
      <c r="B4" s="14" t="s">
        <v>217</v>
      </c>
      <c r="C4" s="22"/>
      <c r="D4" s="22"/>
      <c r="E4" s="22"/>
      <c r="F4" s="22"/>
      <c r="G4" s="22"/>
      <c r="H4" s="22"/>
      <c r="I4" s="22"/>
      <c r="J4" s="22"/>
      <c r="K4" s="22"/>
    </row>
    <row r="5" customFormat="false" ht="15" hidden="false" customHeight="false" outlineLevel="0" collapsed="false">
      <c r="A5" s="6" t="s">
        <v>160</v>
      </c>
      <c r="B5" s="14" t="s">
        <v>217</v>
      </c>
      <c r="C5" s="22"/>
      <c r="D5" s="22"/>
      <c r="E5" s="22"/>
      <c r="F5" s="22"/>
      <c r="G5" s="22"/>
      <c r="H5" s="22"/>
      <c r="I5" s="22"/>
      <c r="J5" s="22"/>
      <c r="K5" s="22"/>
    </row>
    <row r="6" customFormat="false" ht="15" hidden="false" customHeight="false" outlineLevel="0" collapsed="false">
      <c r="A6" s="6" t="s">
        <v>161</v>
      </c>
      <c r="B6" s="14" t="s">
        <v>217</v>
      </c>
      <c r="C6" s="22"/>
      <c r="D6" s="22"/>
      <c r="E6" s="22"/>
      <c r="F6" s="22"/>
      <c r="G6" s="22"/>
      <c r="H6" s="22"/>
      <c r="I6" s="22"/>
      <c r="J6" s="22"/>
      <c r="K6" s="22"/>
    </row>
    <row r="7" customFormat="false" ht="15" hidden="false" customHeight="false" outlineLevel="0" collapsed="false">
      <c r="A7" s="6" t="s">
        <v>162</v>
      </c>
      <c r="B7" s="14" t="s">
        <v>217</v>
      </c>
      <c r="C7" s="22"/>
      <c r="D7" s="22"/>
      <c r="E7" s="22"/>
      <c r="F7" s="22"/>
      <c r="G7" s="22"/>
      <c r="H7" s="22"/>
      <c r="I7" s="22"/>
      <c r="J7" s="22"/>
      <c r="K7" s="22"/>
    </row>
    <row r="8" customFormat="false" ht="15" hidden="false" customHeight="false" outlineLevel="0" collapsed="false">
      <c r="A8" s="6" t="s">
        <v>163</v>
      </c>
      <c r="B8" s="14" t="s">
        <v>217</v>
      </c>
      <c r="C8" s="22"/>
      <c r="D8" s="22"/>
      <c r="E8" s="22"/>
      <c r="F8" s="22"/>
      <c r="G8" s="22"/>
      <c r="H8" s="22"/>
      <c r="I8" s="22"/>
      <c r="J8" s="22"/>
      <c r="K8" s="22"/>
    </row>
    <row r="9" customFormat="false" ht="15" hidden="false" customHeight="false" outlineLevel="0" collapsed="false">
      <c r="A9" s="6" t="s">
        <v>164</v>
      </c>
      <c r="B9" s="14" t="s">
        <v>225</v>
      </c>
      <c r="C9" s="22"/>
      <c r="D9" s="22"/>
      <c r="E9" s="22"/>
      <c r="F9" s="22"/>
      <c r="G9" s="22"/>
      <c r="H9" s="22"/>
      <c r="I9" s="22"/>
      <c r="J9" s="22"/>
      <c r="K9" s="22"/>
    </row>
    <row r="10" customFormat="false" ht="15" hidden="false" customHeight="false" outlineLevel="0" collapsed="false">
      <c r="A10" s="6" t="s">
        <v>165</v>
      </c>
      <c r="B10" s="14" t="s">
        <v>217</v>
      </c>
      <c r="C10" s="22"/>
      <c r="D10" s="22"/>
      <c r="E10" s="22"/>
      <c r="F10" s="22"/>
      <c r="G10" s="22"/>
      <c r="H10" s="22"/>
      <c r="I10" s="22"/>
      <c r="J10" s="22"/>
      <c r="K10" s="22"/>
    </row>
    <row r="11" customFormat="false" ht="15" hidden="false" customHeight="false" outlineLevel="0" collapsed="false">
      <c r="A11" s="6" t="s">
        <v>166</v>
      </c>
      <c r="B11" s="14" t="s">
        <v>217</v>
      </c>
      <c r="C11" s="22"/>
      <c r="D11" s="22"/>
      <c r="E11" s="22"/>
      <c r="F11" s="22"/>
      <c r="G11" s="22"/>
      <c r="H11" s="22"/>
      <c r="I11" s="22"/>
      <c r="J11" s="22"/>
      <c r="K11" s="22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14</v>
      </c>
      <c r="B1" s="5" t="s">
        <v>226</v>
      </c>
      <c r="C1" s="5" t="s">
        <v>15</v>
      </c>
      <c r="D1" s="5" t="s">
        <v>16</v>
      </c>
      <c r="E1" s="5" t="s">
        <v>227</v>
      </c>
      <c r="F1" s="5" t="s">
        <v>228</v>
      </c>
      <c r="G1" s="5" t="s">
        <v>229</v>
      </c>
    </row>
    <row r="2" customFormat="false" ht="23.85" hidden="false" customHeight="false" outlineLevel="0" collapsed="false">
      <c r="A2" s="8" t="s">
        <v>230</v>
      </c>
      <c r="B2" s="8" t="s">
        <v>231</v>
      </c>
      <c r="C2" s="8" t="s">
        <v>232</v>
      </c>
      <c r="D2" s="8" t="s">
        <v>32</v>
      </c>
      <c r="E2" s="8" t="s">
        <v>233</v>
      </c>
      <c r="F2" s="8" t="s">
        <v>234</v>
      </c>
      <c r="G2" s="8" t="s">
        <v>235</v>
      </c>
    </row>
    <row r="3" customFormat="false" ht="23.85" hidden="false" customHeight="false" outlineLevel="0" collapsed="false">
      <c r="A3" s="8" t="s">
        <v>230</v>
      </c>
      <c r="B3" s="8" t="s">
        <v>236</v>
      </c>
      <c r="C3" s="8" t="s">
        <v>237</v>
      </c>
      <c r="D3" s="8" t="s">
        <v>32</v>
      </c>
      <c r="E3" s="8" t="s">
        <v>233</v>
      </c>
      <c r="F3" s="8" t="s">
        <v>238</v>
      </c>
      <c r="G3" s="8" t="s">
        <v>239</v>
      </c>
    </row>
    <row r="4" customFormat="false" ht="23.85" hidden="false" customHeight="false" outlineLevel="0" collapsed="false">
      <c r="A4" s="8" t="s">
        <v>240</v>
      </c>
      <c r="B4" s="8" t="s">
        <v>241</v>
      </c>
      <c r="C4" s="8" t="s">
        <v>242</v>
      </c>
      <c r="D4" s="8" t="s">
        <v>32</v>
      </c>
      <c r="E4" s="8" t="s">
        <v>233</v>
      </c>
      <c r="F4" s="8" t="s">
        <v>243</v>
      </c>
      <c r="G4" s="8" t="s">
        <v>239</v>
      </c>
    </row>
    <row r="5" customFormat="false" ht="15" hidden="false" customHeight="false" outlineLevel="0" collapsed="false">
      <c r="A5" s="8" t="s">
        <v>244</v>
      </c>
      <c r="B5" s="8" t="s">
        <v>245</v>
      </c>
      <c r="C5" s="8" t="s">
        <v>246</v>
      </c>
      <c r="D5" s="8" t="s">
        <v>58</v>
      </c>
      <c r="E5" s="8" t="s">
        <v>247</v>
      </c>
      <c r="F5" s="8" t="s">
        <v>243</v>
      </c>
      <c r="G5" s="8" t="s">
        <v>239</v>
      </c>
    </row>
    <row r="6" customFormat="false" ht="23.85" hidden="false" customHeight="false" outlineLevel="0" collapsed="false">
      <c r="A6" s="8" t="s">
        <v>248</v>
      </c>
      <c r="B6" s="8" t="s">
        <v>249</v>
      </c>
      <c r="C6" s="8" t="s">
        <v>250</v>
      </c>
      <c r="D6" s="8" t="s">
        <v>32</v>
      </c>
      <c r="E6" s="8" t="s">
        <v>233</v>
      </c>
      <c r="F6" s="8" t="s">
        <v>251</v>
      </c>
      <c r="G6" s="8" t="s">
        <v>252</v>
      </c>
    </row>
    <row r="7" customFormat="false" ht="23.85" hidden="false" customHeight="false" outlineLevel="0" collapsed="false">
      <c r="A7" s="8" t="s">
        <v>253</v>
      </c>
      <c r="B7" s="8" t="s">
        <v>254</v>
      </c>
      <c r="C7" s="8" t="s">
        <v>255</v>
      </c>
      <c r="D7" s="8" t="s">
        <v>32</v>
      </c>
      <c r="E7" s="8" t="s">
        <v>233</v>
      </c>
      <c r="F7" s="8" t="s">
        <v>251</v>
      </c>
      <c r="G7" s="8" t="s">
        <v>256</v>
      </c>
    </row>
    <row r="8" customFormat="false" ht="23.85" hidden="false" customHeight="false" outlineLevel="0" collapsed="false">
      <c r="A8" s="8" t="s">
        <v>257</v>
      </c>
      <c r="B8" s="8" t="s">
        <v>258</v>
      </c>
      <c r="C8" s="8" t="s">
        <v>259</v>
      </c>
      <c r="D8" s="8" t="s">
        <v>32</v>
      </c>
      <c r="E8" s="8" t="s">
        <v>233</v>
      </c>
      <c r="F8" s="8" t="s">
        <v>251</v>
      </c>
      <c r="G8" s="8" t="s">
        <v>260</v>
      </c>
    </row>
    <row r="9" customFormat="false" ht="23.85" hidden="false" customHeight="false" outlineLevel="0" collapsed="false">
      <c r="A9" s="8" t="s">
        <v>261</v>
      </c>
      <c r="B9" s="8" t="s">
        <v>258</v>
      </c>
      <c r="C9" s="8" t="s">
        <v>262</v>
      </c>
      <c r="D9" s="8" t="s">
        <v>88</v>
      </c>
      <c r="E9" s="8" t="s">
        <v>263</v>
      </c>
      <c r="F9" s="8" t="s">
        <v>251</v>
      </c>
      <c r="G9" s="8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2026-09-27T19:33:19Z</dcterms:created>
  <dc:creator>openpyxl</dc:creator>
  <dc:description/>
  <dc:language>en-US</dc:language>
  <cp:lastModifiedBy/>
  <dcterms:modified xsi:type="dcterms:W3CDTF">2026-09-27T19:33:19Z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