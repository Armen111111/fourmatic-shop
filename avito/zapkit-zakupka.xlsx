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рогноз" sheetId="3" state="visible" r:id="rId5"/>
    <sheet name="Параметры" sheetId="4" state="visible" r:id="rId6"/>
    <sheet name="Состав" sheetId="5" state="visible" r:id="rId7"/>
    <sheet name="Поставщики" sheetId="6" state="visible" r:id="rId8"/>
    <sheet name="Моторы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M1" authorId="0">
      <text>
        <r>
          <rPr>
            <sz val="10"/>
            <rFont val="Arial"/>
            <family val="2"/>
          </rPr>
          <t xml:space="preserve">Считается по наценке с листа «Параметры». Если в колонке Y «Своя цена по рынку» есть число — берётся оно.</t>
        </r>
      </text>
    </comment>
    <comment ref="U1" authorId="0">
      <text>
        <r>
          <rPr>
            <sz val="10"/>
            <rFont val="Arial"/>
            <family val="2"/>
          </rPr>
          <t xml:space="preserve">До налога: цена − закупка − комиссия Авито − показы − резерв − постоянные расходы.</t>
        </r>
      </text>
    </comment>
    <comment ref="V1" authorId="0">
      <text>
        <r>
          <rPr>
            <sz val="10"/>
            <rFont val="Arial"/>
            <family val="2"/>
          </rPr>
          <t xml:space="preserve">До налога: цена − закупка − комиссия банка − показы − резерв − постоянные расходы − СДЭК за ваш счёт.</t>
        </r>
      </text>
    </comment>
    <comment ref="Y1" authorId="0">
      <text>
        <r>
          <rPr>
            <sz val="10"/>
            <rFont val="Arial"/>
            <family val="2"/>
          </rPr>
          <t xml:space="preserve">Для китов, где цену ставим по рынку, а не по наценке: впишите цену, по которой конечный покупатель берёт то же самое на маркетплейсах. Пусто — цена по наценке.</t>
        </r>
      </text>
    </comment>
    <comment ref="Y26" authorId="0">
      <text>
        <r>
          <rPr>
            <sz val="10"/>
            <rFont val="Arial"/>
            <family val="2"/>
          </rPr>
          <t xml:space="preserve">Цена по рынку (сентябрь 2026): Gates K0120529 отдельно — 7 290–10 526 ₽ в рознице, ремень помпы — 740–1 679 ₽. У нас оба ремня и ролики в одной коробке дешевле, чем по отдельности на Яндекс Маркете.</t>
        </r>
      </text>
    </comment>
  </commentList>
</comments>
</file>

<file path=xl/sharedStrings.xml><?xml version="1.0" encoding="utf-8"?>
<sst xmlns="http://schemas.openxmlformats.org/spreadsheetml/2006/main" count="791" uniqueCount="333">
  <si>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</si>
  <si>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</si>
  <si>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</si>
  <si>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</si>
  <si>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</si>
  <si>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 до налога в двух вариантах: оплата через Авито Доставку и прямым переводом.</t>
  </si>
  <si>
    <t xml:space="preserve">    Впишите минимальную цену конкурентов — появится сравнение с рынком. Колонка Y «Своя цена по рынку» — если цену кита ставим по рынку, а не по наценке.</t>
  </si>
  <si>
    <t xml:space="preserve">4. «Параметры» — наценка, комиссии, резерв на товар, постоянные расходы и план заказов. Поменяете там — пересчитается всё.</t>
  </si>
  <si>
    <t xml:space="preserve">5. «Прогноз» — выручка и прибыль за месяц: ТО-киты и ГРМ-киты отдельно и вместе, точка безубыточности.</t>
  </si>
  <si>
    <t xml:space="preserve">6.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</si>
  <si>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</si>
  <si>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</si>
  <si>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</si>
  <si>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</si>
  <si>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</si>
  <si>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</si>
  <si>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</si>
  <si>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</si>
  <si>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</si>
  <si>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</si>
  <si>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</si>
  <si>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</si>
  <si>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Детали, ₽</t>
  </si>
  <si>
    <t xml:space="preserve">Позиций без цены</t>
  </si>
  <si>
    <t xml:space="preserve">Упаковка, ₽</t>
  </si>
  <si>
    <t xml:space="preserve">Закупка, ₽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</si>
  <si>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</si>
  <si>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</si>
  <si>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</si>
  <si>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Комиссия Авито, ₽</t>
  </si>
  <si>
    <t xml:space="preserve">Комиссия банка, ₽</t>
  </si>
  <si>
    <t xml:space="preserve">Показы, ₽</t>
  </si>
  <si>
    <t xml:space="preserve">Резерв на товар, ₽</t>
  </si>
  <si>
    <t xml:space="preserve">Постоянные расходы, ₽</t>
  </si>
  <si>
    <t xml:space="preserve">Прибыль: Авито Доставка, ₽</t>
  </si>
  <si>
    <t xml:space="preserve">Прибыль: перевод, ₽</t>
  </si>
  <si>
    <t xml:space="preserve">Маржа (Авито Доставка)</t>
  </si>
  <si>
    <t xml:space="preserve">Статус</t>
  </si>
  <si>
    <t xml:space="preserve">Своя цена по рынку, ₽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</si>
  <si>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</si>
  <si>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</si>
  <si>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</si>
  <si>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</si>
  <si>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</si>
  <si>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</si>
  <si>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</si>
  <si>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</si>
  <si>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</si>
  <si>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</si>
  <si>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</si>
  <si>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</si>
  <si>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</si>
  <si>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</si>
  <si>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</si>
  <si>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</si>
  <si>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</si>
  <si>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</si>
  <si>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</si>
  <si>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</si>
  <si>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</si>
  <si>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</si>
  <si>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</si>
  <si>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</si>
  <si>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</si>
  <si>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</si>
  <si>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</si>
  <si>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</si>
  <si>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</si>
  <si>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</si>
  <si>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</si>
  <si>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</si>
  <si>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</si>
  <si>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</si>
  <si>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</si>
  <si>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</si>
  <si>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</si>
  <si>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</si>
  <si>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</si>
  <si>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</si>
  <si>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</si>
  <si>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</si>
  <si>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</si>
  <si>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</si>
  <si>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</si>
  <si>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</si>
  <si>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</si>
  <si>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</si>
  <si>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</si>
  <si>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</si>
  <si>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</si>
  <si>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</si>
  <si>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</si>
  <si>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</si>
  <si>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</si>
  <si>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</si>
  <si>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</si>
  <si>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</si>
  <si>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</si>
  <si>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</si>
  <si>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</si>
  <si>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</si>
  <si>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</si>
  <si>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</si>
  <si>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</si>
  <si>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</si>
  <si>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</si>
  <si>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</si>
  <si>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</si>
  <si>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</si>
  <si>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</si>
  <si>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</si>
  <si>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</si>
  <si>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</si>
  <si>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</si>
  <si>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</si>
  <si>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</si>
  <si>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</si>
  <si>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</si>
  <si>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</si>
  <si>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</si>
  <si>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</si>
  <si>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</si>
  <si>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</si>
  <si>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</si>
  <si>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</si>
  <si>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</si>
  <si>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</si>
  <si>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</si>
  <si>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</si>
  <si>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</si>
  <si>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</si>
  <si>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</si>
  <si>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</si>
  <si>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</si>
  <si>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</si>
  <si>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</si>
  <si>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</si>
  <si>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</si>
  <si>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</si>
  <si>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</si>
  <si>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</si>
  <si>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</si>
  <si>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</si>
  <si>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</si>
  <si>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</si>
  <si>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</si>
  <si>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</si>
  <si>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</si>
  <si>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Gates Geely Coolray 1.5T: ремни и ролики</t>
  </si>
  <si>
    <t xml:space="preserve">grm-12-coolray-1-main.png</t>
  </si>
  <si>
    <t xml:space="preserve">Прогноз на месяц (до налога): ТО-киты и ГРМ-киты</t>
  </si>
  <si>
    <t xml:space="preserve">ТО-кит</t>
  </si>
  <si>
    <t xml:space="preserve">ГРМ-кит</t>
  </si>
  <si>
    <t xml:space="preserve">Пояснение</t>
  </si>
  <si>
    <t xml:space="preserve">Средний чек кита, ₽</t>
  </si>
  <si>
    <t xml:space="preserve">ТО: среднее по Picanto (4 190) и Jetta (4 790). ГРМ: пока собран один — Coolray на Gates (9 990). Когда соберёте больше китов, возьмите средние из справки ниже.</t>
  </si>
  <si>
    <t xml:space="preserve">Средняя стоимость деталей, ₽</t>
  </si>
  <si>
    <t xml:space="preserve">ТО: среднее по Picanto и Jetta. ГРМ: Coolray — Gates K0120529 6 066 + ремень помпы 990,23.</t>
  </si>
  <si>
    <t xml:space="preserve">Доля оплат через Авито Доставку</t>
  </si>
  <si>
    <t xml:space="preserve">Общая для ТО и ГРМ. Остальные — прямым переводом. Ваша оценка; уточните по факту.</t>
  </si>
  <si>
    <t xml:space="preserve">Справка: средний чек по листу «Киты»</t>
  </si>
  <si>
    <t xml:space="preserve">Справка: средние детали по листу «Киты»</t>
  </si>
  <si>
    <t xml:space="preserve">Постоянные расходы в месяц, ₽</t>
  </si>
  <si>
    <t xml:space="preserve">Сумма постоянных расходов с листа «Параметры». Платятся один раз в месяц на весь магазин.</t>
  </si>
  <si>
    <t xml:space="preserve">Прибыль с 1 заказа до постоянных расходов, ₽</t>
  </si>
  <si>
    <t xml:space="preserve">Точка безубыточности, заказов в месяц</t>
  </si>
  <si>
    <t xml:space="preserve">Сколько китов одного вида нужно продать, чтобы покрыть постоянные расходы.</t>
  </si>
  <si>
    <t xml:space="preserve">Сценарий</t>
  </si>
  <si>
    <t xml:space="preserve">ТО-китов в месяц</t>
  </si>
  <si>
    <t xml:space="preserve">ГРМ-китов в месяц</t>
  </si>
  <si>
    <t xml:space="preserve">Выручка, ₽</t>
  </si>
  <si>
    <t xml:space="preserve">Детали и упаковка, ₽</t>
  </si>
  <si>
    <t xml:space="preserve">СДЭК за ваш счёт, ₽</t>
  </si>
  <si>
    <t xml:space="preserve">Постоянные, ₽</t>
  </si>
  <si>
    <t xml:space="preserve">Прибыль до налога, ₽</t>
  </si>
  <si>
    <t xml:space="preserve">Прибыль на 1 заказ, ₽</t>
  </si>
  <si>
    <t xml:space="preserve">Только ГРМ</t>
  </si>
  <si>
    <t xml:space="preserve">Только ТО — для сравнения</t>
  </si>
  <si>
    <t xml:space="preserve">ТО + ГРМ</t>
  </si>
  <si>
    <t xml:space="preserve">Налог не учтён. Число китов в колонках B и C можно менять. При росте продаж впишите в «Параметры» подписку Авито Pro, если подключите.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</si>
  <si>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</si>
  <si>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</si>
  <si>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</si>
  <si>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</si>
  <si>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(детали + упаковка) × (1 + наценка), вверх до шага округления, минус «вычесть». Ваше решение.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</si>
  <si>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</si>
  <si>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</si>
  <si>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</si>
  <si>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</si>
  <si>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</si>
  <si>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</si>
  <si>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Комиссия Авито Доставки</t>
  </si>
  <si>
    <t xml:space="preserve">Только для заказов через Авито Доставку. ≈6,5% по данным селлерских сервисов (SelSup, 2026) — сверьте в кабинете Авито.</t>
  </si>
  <si>
    <t xml:space="preserve">Показы объявления на 1 заказ, ₽</t>
  </si>
  <si>
    <t xml:space="preserve">Оценка: ≈150 показов × 1,2 ₽. Клиент пришёл с Авито при любой оплате, поэтому вычитается всегда. После запуска: расход на показы за месяц ÷ число заказов.</t>
  </si>
  <si>
    <t xml:space="preserve">Резерв на товар (возвраты, брак, довоз), % от деталей</t>
  </si>
  <si>
    <t xml:space="preserve">Ваше решение: 5% от стоимости деталей. Через 2–3 месяца сверьте с фактом и поправьте.</t>
  </si>
  <si>
    <t xml:space="preserve">Резерв включать в цену? (1 — да, 0 — нет)</t>
  </si>
  <si>
    <t xml:space="preserve">0 — резерв вычитается из прибыли, цена не меняется. 1 — резерв добавляется к закупке, и цена кита растёт.</t>
  </si>
  <si>
    <t xml:space="preserve">Комиссия банка при оплате переводом</t>
  </si>
  <si>
    <t xml:space="preserve">Для прямых переводов. Оплата по QR/СБП для бизнеса обычно 0,4–0,7%; обычный перевод на счёт ИП часто бесплатный — уточните у банка.</t>
  </si>
  <si>
    <t xml:space="preserve">СДЭК за ваш счёт при оплате переводом, ₽</t>
  </si>
  <si>
    <t xml:space="preserve">0, если доставку оплачивает покупатель. Если отправляете бесплатно — впишите среднюю стоимость отправки.</t>
  </si>
  <si>
    <t xml:space="preserve">Взносы ИП, ₽ в месяц</t>
  </si>
  <si>
    <t xml:space="preserve">57 390 ₽ за 2026 год ÷ 12 (фиксированные взносы ИП).</t>
  </si>
  <si>
    <t xml:space="preserve">Онлайн-касса, ₽ в месяц</t>
  </si>
  <si>
    <t xml:space="preserve">При оплате переводом покупателю по закону нужен чек (54-ФЗ). Оценка облачной кассы — уточните у своего банка.</t>
  </si>
  <si>
    <t xml:space="preserve">Подписка Авито Pro, ₽ в месяц</t>
  </si>
  <si>
    <t xml:space="preserve">0, пока не подключена. Впишите ≈3 000, когда подключите (обложка, автозагрузка).</t>
  </si>
  <si>
    <t xml:space="preserve">Обслуживание счёта, ₽ в месяц</t>
  </si>
  <si>
    <t xml:space="preserve">0 на бесплатном тарифе.</t>
  </si>
  <si>
    <t xml:space="preserve">Прочее (связь, печать, расходники), ₽ в месяц</t>
  </si>
  <si>
    <t xml:space="preserve">Оценка.</t>
  </si>
  <si>
    <t xml:space="preserve">План заказов в месяц</t>
  </si>
  <si>
    <t xml:space="preserve">На сколько заказов делятся постоянные расходы. Больше заказов — меньше расходов на один кит.</t>
  </si>
  <si>
    <t xml:space="preserve">Постоянные расходы на 1 кит, ₽</t>
  </si>
  <si>
    <t xml:space="preserve">Считается сам: сумма постоянных расходов в месяц ÷ план заказов.</t>
  </si>
  <si>
    <t xml:space="preserve">Налог в расчёт не входит: прибыль на листе «Киты» — до налога.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</si>
  <si>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</si>
  <si>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</si>
  <si>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</si>
  <si>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</si>
  <si>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</si>
  <si>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</si>
  <si>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</si>
  <si>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</si>
  <si>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</si>
  <si>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</si>
  <si>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</si>
  <si>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</si>
  <si>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</si>
  <si>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</si>
  <si>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</si>
  <si>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</si>
  <si>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</si>
  <si>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</si>
  <si>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</si>
  <si>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</si>
  <si>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</si>
  <si>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</si>
  <si>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</si>
  <si>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</si>
  <si>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</si>
  <si>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</si>
  <si>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</si>
  <si>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</si>
  <si>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</si>
  <si>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</si>
  <si>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</si>
  <si>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</si>
  <si>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</si>
  <si>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</si>
  <si>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</si>
  <si>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</si>
  <si>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</si>
  <si>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</si>
  <si>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2 668,39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</si>
  <si>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</si>
  <si>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</si>
  <si>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</si>
  <si>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</si>
  <si>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</si>
  <si>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</si>
  <si>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</si>
  <si>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</si>
  <si>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</si>
  <si>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</si>
  <si>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</si>
  <si>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</si>
  <si>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</si>
  <si>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Комплект ГРМ Gates K0120529: ремень и 2 ролика</t>
  </si>
  <si>
    <t xml:space="preserve">Gates</t>
  </si>
  <si>
    <t xml:space="preserve">K0120529</t>
  </si>
  <si>
    <t xml:space="preserve">Ваша закупка: 6 066,00 ₽ — впишите в колонку поставщика, у которого брали</t>
  </si>
  <si>
    <t xml:space="preserve">Ремень привода помпы</t>
  </si>
  <si>
    <t xml:space="preserve">Ваша закупка: 990,23 ₽ — впишите в колонку поставщика, у которого брали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</si>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</sst>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₽&quot;;\-#,##0&quot; ₽&quot;;\-"/>
    <numFmt numFmtId="166" formatCode="General"/>
    <numFmt numFmtId="167" formatCode="0.0%"/>
    <numFmt numFmtId="168" formatCode="0%"/>
    <numFmt numFmtId="169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12"/>
    <col collapsed="false" customWidth="true" hidden="false" outlineLevel="0" max="25" min="24" style="0" width="14"/>
  </cols>
  <sheetData>
    <row r="1" customFormat="false" ht="43.5" hidden="false" customHeight="tru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  <c r="O1" s="5" t="s">
        <v>28</v>
      </c>
      <c r="P1" s="5" t="s">
        <v>29</v>
      </c>
      <c r="Q1" s="5" t="s">
        <v>30</v>
      </c>
      <c r="R1" s="5" t="s">
        <v>31</v>
      </c>
      <c r="S1" s="5" t="s">
        <v>32</v>
      </c>
      <c r="T1" s="5" t="s">
        <v>33</v>
      </c>
      <c r="U1" s="5" t="s">
        <v>34</v>
      </c>
      <c r="V1" s="5" t="s">
        <v>35</v>
      </c>
      <c r="W1" s="5" t="s">
        <v>36</v>
      </c>
      <c r="X1" s="5" t="s">
        <v>37</v>
      </c>
      <c r="Y1" s="5" t="s">
        <v>38</v>
      </c>
    </row>
    <row r="2" customFormat="false" ht="15" hidden="false" customHeight="false" outlineLevel="0" collapsed="false">
      <c r="A2" s="6" t="s">
        <v>39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44</v>
      </c>
      <c r="G2" s="8" t="s">
        <v>45</v>
      </c>
      <c r="H2" s="7" t="s">
        <v>46</v>
      </c>
      <c r="I2" s="9" t="str">
        <f aca="false">IF(SUMIFS(Состав!$R:$R,Состав!$A:$A,A2)=0,"",SUMIFS(Состав!$R:$R,Состав!$A:$A,A2))</f>
        <v/>
      </c>
      <c r="J2" s="10" t="n">
        <f aca="false">COUNTIFS(Состав!$A:$A,A2,Состав!$P:$P,"",Состав!$D:$D,"&gt;0")</f>
        <v>5</v>
      </c>
      <c r="K2" s="9" t="str">
        <f aca="false">IF(I2="","",Параметры!$B$3)</f>
        <v/>
      </c>
      <c r="L2" s="9" t="str">
        <f aca="false">IF(I2="","",I2+K2)</f>
        <v/>
      </c>
      <c r="M2" s="11" t="str">
        <f aca="false">IF(I2="","",IF(Y2&lt;&gt;"",Y2,CEILING((I2*(1+Параметры!$B$8*Параметры!$B$9)+K2)*(1+Параметры!$B$2),Параметры!$B$4)-Параметры!$B$5))</f>
        <v/>
      </c>
      <c r="N2" s="12"/>
      <c r="O2" s="7" t="str">
        <f aca="false">IF(OR(M2="",N2=""),"",IF(M2&lt;=N2,"не дороже рынка","дороже рынка"))</f>
        <v/>
      </c>
      <c r="P2" s="9" t="str">
        <f aca="false">IF(M2="","",M2*Параметры!$B$6)</f>
        <v/>
      </c>
      <c r="Q2" s="9" t="str">
        <f aca="false">IF(M2="","",M2*Параметры!$B$10)</f>
        <v/>
      </c>
      <c r="R2" s="9" t="str">
        <f aca="false">IF(M2="","",Параметры!$B$7)</f>
        <v/>
      </c>
      <c r="S2" s="9" t="str">
        <f aca="false">IF(I2="","",I2*Параметры!$B$8)</f>
        <v/>
      </c>
      <c r="T2" s="9" t="str">
        <f aca="false">IF(M2="","",Параметры!$B$18)</f>
        <v/>
      </c>
      <c r="U2" s="11" t="str">
        <f aca="false">IF(M2="","",M2-L2-P2-R2-S2-T2)</f>
        <v/>
      </c>
      <c r="V2" s="11" t="str">
        <f aca="false">IF(M2="","",M2-L2-Q2-R2-S2-T2-Параметры!$B$11)</f>
        <v/>
      </c>
      <c r="W2" s="13" t="str">
        <f aca="false">IF(U2="","",U2/M2)</f>
        <v/>
      </c>
      <c r="X2" s="14" t="s">
        <v>47</v>
      </c>
      <c r="Y2" s="12"/>
    </row>
    <row r="3" customFormat="false" ht="15" hidden="false" customHeight="false" outlineLevel="0" collapsed="false">
      <c r="A3" s="6" t="s">
        <v>48</v>
      </c>
      <c r="B3" s="7" t="s">
        <v>40</v>
      </c>
      <c r="C3" s="7" t="s">
        <v>49</v>
      </c>
      <c r="D3" s="7" t="s">
        <v>50</v>
      </c>
      <c r="E3" s="7" t="s">
        <v>43</v>
      </c>
      <c r="F3" s="7" t="s">
        <v>44</v>
      </c>
      <c r="G3" s="8" t="s">
        <v>51</v>
      </c>
      <c r="H3" s="7" t="s">
        <v>52</v>
      </c>
      <c r="I3" s="9" t="str">
        <f aca="false">IF(SUMIFS(Состав!$R:$R,Состав!$A:$A,A3)=0,"",SUMIFS(Состав!$R:$R,Состав!$A:$A,A3))</f>
        <v/>
      </c>
      <c r="J3" s="10" t="n">
        <f aca="false">COUNTIFS(Состав!$A:$A,A3,Состав!$P:$P,"",Состав!$D:$D,"&gt;0")</f>
        <v>5</v>
      </c>
      <c r="K3" s="9" t="str">
        <f aca="false">IF(I3="","",Параметры!$B$3)</f>
        <v/>
      </c>
      <c r="L3" s="9" t="str">
        <f aca="false">IF(I3="","",I3+K3)</f>
        <v/>
      </c>
      <c r="M3" s="11" t="str">
        <f aca="false">IF(I3="","",IF(Y3&lt;&gt;"",Y3,CEILING((I3*(1+Параметры!$B$8*Параметры!$B$9)+K3)*(1+Параметры!$B$2),Параметры!$B$4)-Параметры!$B$5))</f>
        <v/>
      </c>
      <c r="N3" s="12"/>
      <c r="O3" s="7" t="str">
        <f aca="false">IF(OR(M3="",N3=""),"",IF(M3&lt;=N3,"не дороже рынка","дороже рынка"))</f>
        <v/>
      </c>
      <c r="P3" s="9" t="str">
        <f aca="false">IF(M3="","",M3*Параметры!$B$6)</f>
        <v/>
      </c>
      <c r="Q3" s="9" t="str">
        <f aca="false">IF(M3="","",M3*Параметры!$B$10)</f>
        <v/>
      </c>
      <c r="R3" s="9" t="str">
        <f aca="false">IF(M3="","",Параметры!$B$7)</f>
        <v/>
      </c>
      <c r="S3" s="9" t="str">
        <f aca="false">IF(I3="","",I3*Параметры!$B$8)</f>
        <v/>
      </c>
      <c r="T3" s="9" t="str">
        <f aca="false">IF(M3="","",Параметры!$B$18)</f>
        <v/>
      </c>
      <c r="U3" s="11" t="str">
        <f aca="false">IF(M3="","",M3-L3-P3-R3-S3-T3)</f>
        <v/>
      </c>
      <c r="V3" s="11" t="str">
        <f aca="false">IF(M3="","",M3-L3-Q3-R3-S3-T3-Параметры!$B$11)</f>
        <v/>
      </c>
      <c r="W3" s="13" t="str">
        <f aca="false">IF(U3="","",U3/M3)</f>
        <v/>
      </c>
      <c r="X3" s="14" t="s">
        <v>47</v>
      </c>
      <c r="Y3" s="12"/>
    </row>
    <row r="4" customFormat="false" ht="15" hidden="false" customHeight="false" outlineLevel="0" collapsed="false">
      <c r="A4" s="6" t="s">
        <v>53</v>
      </c>
      <c r="B4" s="7" t="s">
        <v>40</v>
      </c>
      <c r="C4" s="7" t="s">
        <v>54</v>
      </c>
      <c r="D4" s="7" t="s">
        <v>42</v>
      </c>
      <c r="E4" s="7" t="s">
        <v>43</v>
      </c>
      <c r="F4" s="7" t="s">
        <v>44</v>
      </c>
      <c r="G4" s="8" t="s">
        <v>55</v>
      </c>
      <c r="H4" s="7" t="s">
        <v>56</v>
      </c>
      <c r="I4" s="9" t="str">
        <f aca="false">IF(SUMIFS(Состав!$R:$R,Состав!$A:$A,A4)=0,"",SUMIFS(Состав!$R:$R,Состав!$A:$A,A4))</f>
        <v/>
      </c>
      <c r="J4" s="10" t="n">
        <f aca="false">COUNTIFS(Состав!$A:$A,A4,Состав!$P:$P,"",Состав!$D:$D,"&gt;0")</f>
        <v>5</v>
      </c>
      <c r="K4" s="9" t="str">
        <f aca="false">IF(I4="","",Параметры!$B$3)</f>
        <v/>
      </c>
      <c r="L4" s="9" t="str">
        <f aca="false">IF(I4="","",I4+K4)</f>
        <v/>
      </c>
      <c r="M4" s="11" t="str">
        <f aca="false">IF(I4="","",IF(Y4&lt;&gt;"",Y4,CEILING((I4*(1+Параметры!$B$8*Параметры!$B$9)+K4)*(1+Параметры!$B$2),Параметры!$B$4)-Параметры!$B$5))</f>
        <v/>
      </c>
      <c r="N4" s="12"/>
      <c r="O4" s="7" t="str">
        <f aca="false">IF(OR(M4="",N4=""),"",IF(M4&lt;=N4,"не дороже рынка","дороже рынка"))</f>
        <v/>
      </c>
      <c r="P4" s="9" t="str">
        <f aca="false">IF(M4="","",M4*Параметры!$B$6)</f>
        <v/>
      </c>
      <c r="Q4" s="9" t="str">
        <f aca="false">IF(M4="","",M4*Параметры!$B$10)</f>
        <v/>
      </c>
      <c r="R4" s="9" t="str">
        <f aca="false">IF(M4="","",Параметры!$B$7)</f>
        <v/>
      </c>
      <c r="S4" s="9" t="str">
        <f aca="false">IF(I4="","",I4*Параметры!$B$8)</f>
        <v/>
      </c>
      <c r="T4" s="9" t="str">
        <f aca="false">IF(M4="","",Параметры!$B$18)</f>
        <v/>
      </c>
      <c r="U4" s="11" t="str">
        <f aca="false">IF(M4="","",M4-L4-P4-R4-S4-T4)</f>
        <v/>
      </c>
      <c r="V4" s="11" t="str">
        <f aca="false">IF(M4="","",M4-L4-Q4-R4-S4-T4-Параметры!$B$11)</f>
        <v/>
      </c>
      <c r="W4" s="13" t="str">
        <f aca="false">IF(U4="","",U4/M4)</f>
        <v/>
      </c>
      <c r="X4" s="14" t="s">
        <v>47</v>
      </c>
      <c r="Y4" s="12"/>
    </row>
    <row r="5" customFormat="false" ht="15" hidden="false" customHeight="false" outlineLevel="0" collapsed="false">
      <c r="A5" s="6" t="s">
        <v>57</v>
      </c>
      <c r="B5" s="7" t="s">
        <v>40</v>
      </c>
      <c r="C5" s="7" t="s">
        <v>58</v>
      </c>
      <c r="D5" s="7" t="s">
        <v>50</v>
      </c>
      <c r="E5" s="7" t="s">
        <v>43</v>
      </c>
      <c r="F5" s="7" t="s">
        <v>44</v>
      </c>
      <c r="G5" s="8" t="s">
        <v>59</v>
      </c>
      <c r="H5" s="7" t="s">
        <v>60</v>
      </c>
      <c r="I5" s="9" t="str">
        <f aca="false">IF(SUMIFS(Состав!$R:$R,Состав!$A:$A,A5)=0,"",SUMIFS(Состав!$R:$R,Состав!$A:$A,A5))</f>
        <v/>
      </c>
      <c r="J5" s="10" t="n">
        <f aca="false">COUNTIFS(Состав!$A:$A,A5,Состав!$P:$P,"",Состав!$D:$D,"&gt;0")</f>
        <v>5</v>
      </c>
      <c r="K5" s="9" t="str">
        <f aca="false">IF(I5="","",Параметры!$B$3)</f>
        <v/>
      </c>
      <c r="L5" s="9" t="str">
        <f aca="false">IF(I5="","",I5+K5)</f>
        <v/>
      </c>
      <c r="M5" s="11" t="str">
        <f aca="false">IF(I5="","",IF(Y5&lt;&gt;"",Y5,CEILING((I5*(1+Параметры!$B$8*Параметры!$B$9)+K5)*(1+Параметры!$B$2),Параметры!$B$4)-Параметры!$B$5))</f>
        <v/>
      </c>
      <c r="N5" s="12"/>
      <c r="O5" s="7" t="str">
        <f aca="false">IF(OR(M5="",N5=""),"",IF(M5&lt;=N5,"не дороже рынка","дороже рынка"))</f>
        <v/>
      </c>
      <c r="P5" s="9" t="str">
        <f aca="false">IF(M5="","",M5*Параметры!$B$6)</f>
        <v/>
      </c>
      <c r="Q5" s="9" t="str">
        <f aca="false">IF(M5="","",M5*Параметры!$B$10)</f>
        <v/>
      </c>
      <c r="R5" s="9" t="str">
        <f aca="false">IF(M5="","",Параметры!$B$7)</f>
        <v/>
      </c>
      <c r="S5" s="9" t="str">
        <f aca="false">IF(I5="","",I5*Параметры!$B$8)</f>
        <v/>
      </c>
      <c r="T5" s="9" t="str">
        <f aca="false">IF(M5="","",Параметры!$B$18)</f>
        <v/>
      </c>
      <c r="U5" s="11" t="str">
        <f aca="false">IF(M5="","",M5-L5-P5-R5-S5-T5)</f>
        <v/>
      </c>
      <c r="V5" s="11" t="str">
        <f aca="false">IF(M5="","",M5-L5-Q5-R5-S5-T5-Параметры!$B$11)</f>
        <v/>
      </c>
      <c r="W5" s="13" t="str">
        <f aca="false">IF(U5="","",U5/M5)</f>
        <v/>
      </c>
      <c r="X5" s="14" t="s">
        <v>47</v>
      </c>
      <c r="Y5" s="12"/>
    </row>
    <row r="6" customFormat="false" ht="15" hidden="false" customHeight="false" outlineLevel="0" collapsed="false">
      <c r="A6" s="6" t="s">
        <v>61</v>
      </c>
      <c r="B6" s="7" t="s">
        <v>40</v>
      </c>
      <c r="C6" s="7" t="s">
        <v>62</v>
      </c>
      <c r="D6" s="7" t="s">
        <v>63</v>
      </c>
      <c r="E6" s="7" t="s">
        <v>43</v>
      </c>
      <c r="F6" s="7" t="s">
        <v>44</v>
      </c>
      <c r="G6" s="8" t="s">
        <v>64</v>
      </c>
      <c r="H6" s="7" t="s">
        <v>65</v>
      </c>
      <c r="I6" s="9" t="str">
        <f aca="false">IF(SUMIFS(Состав!$R:$R,Состав!$A:$A,A6)=0,"",SUMIFS(Состав!$R:$R,Состав!$A:$A,A6))</f>
        <v/>
      </c>
      <c r="J6" s="10" t="n">
        <f aca="false">COUNTIFS(Состав!$A:$A,A6,Состав!$P:$P,"",Состав!$D:$D,"&gt;0")</f>
        <v>5</v>
      </c>
      <c r="K6" s="9" t="str">
        <f aca="false">IF(I6="","",Параметры!$B$3)</f>
        <v/>
      </c>
      <c r="L6" s="9" t="str">
        <f aca="false">IF(I6="","",I6+K6)</f>
        <v/>
      </c>
      <c r="M6" s="11" t="str">
        <f aca="false">IF(I6="","",IF(Y6&lt;&gt;"",Y6,CEILING((I6*(1+Параметры!$B$8*Параметры!$B$9)+K6)*(1+Параметры!$B$2),Параметры!$B$4)-Параметры!$B$5))</f>
        <v/>
      </c>
      <c r="N6" s="12"/>
      <c r="O6" s="7" t="str">
        <f aca="false">IF(OR(M6="",N6=""),"",IF(M6&lt;=N6,"не дороже рынка","дороже рынка"))</f>
        <v/>
      </c>
      <c r="P6" s="9" t="str">
        <f aca="false">IF(M6="","",M6*Параметры!$B$6)</f>
        <v/>
      </c>
      <c r="Q6" s="9" t="str">
        <f aca="false">IF(M6="","",M6*Параметры!$B$10)</f>
        <v/>
      </c>
      <c r="R6" s="9" t="str">
        <f aca="false">IF(M6="","",Параметры!$B$7)</f>
        <v/>
      </c>
      <c r="S6" s="9" t="str">
        <f aca="false">IF(I6="","",I6*Параметры!$B$8)</f>
        <v/>
      </c>
      <c r="T6" s="9" t="str">
        <f aca="false">IF(M6="","",Параметры!$B$18)</f>
        <v/>
      </c>
      <c r="U6" s="11" t="str">
        <f aca="false">IF(M6="","",M6-L6-P6-R6-S6-T6)</f>
        <v/>
      </c>
      <c r="V6" s="11" t="str">
        <f aca="false">IF(M6="","",M6-L6-Q6-R6-S6-T6-Параметры!$B$11)</f>
        <v/>
      </c>
      <c r="W6" s="13" t="str">
        <f aca="false">IF(U6="","",U6/M6)</f>
        <v/>
      </c>
      <c r="X6" s="14" t="s">
        <v>47</v>
      </c>
      <c r="Y6" s="12"/>
    </row>
    <row r="7" customFormat="false" ht="15" hidden="false" customHeight="false" outlineLevel="0" collapsed="false">
      <c r="A7" s="6" t="s">
        <v>66</v>
      </c>
      <c r="B7" s="7" t="s">
        <v>40</v>
      </c>
      <c r="C7" s="7" t="s">
        <v>67</v>
      </c>
      <c r="D7" s="7" t="s">
        <v>68</v>
      </c>
      <c r="E7" s="7" t="s">
        <v>69</v>
      </c>
      <c r="F7" s="7" t="s">
        <v>44</v>
      </c>
      <c r="G7" s="8" t="s">
        <v>70</v>
      </c>
      <c r="H7" s="7" t="s">
        <v>71</v>
      </c>
      <c r="I7" s="9" t="str">
        <f aca="false">IF(SUMIFS(Состав!$R:$R,Состав!$A:$A,A7)=0,"",SUMIFS(Состав!$R:$R,Состав!$A:$A,A7))</f>
        <v/>
      </c>
      <c r="J7" s="10" t="n">
        <f aca="false">COUNTIFS(Состав!$A:$A,A7,Состав!$P:$P,"",Состав!$D:$D,"&gt;0")</f>
        <v>5</v>
      </c>
      <c r="K7" s="9" t="str">
        <f aca="false">IF(I7="","",Параметры!$B$3)</f>
        <v/>
      </c>
      <c r="L7" s="9" t="str">
        <f aca="false">IF(I7="","",I7+K7)</f>
        <v/>
      </c>
      <c r="M7" s="11" t="str">
        <f aca="false">IF(I7="","",IF(Y7&lt;&gt;"",Y7,CEILING((I7*(1+Параметры!$B$8*Параметры!$B$9)+K7)*(1+Параметры!$B$2),Параметры!$B$4)-Параметры!$B$5))</f>
        <v/>
      </c>
      <c r="N7" s="12"/>
      <c r="O7" s="7" t="str">
        <f aca="false">IF(OR(M7="",N7=""),"",IF(M7&lt;=N7,"не дороже рынка","дороже рынка"))</f>
        <v/>
      </c>
      <c r="P7" s="9" t="str">
        <f aca="false">IF(M7="","",M7*Параметры!$B$6)</f>
        <v/>
      </c>
      <c r="Q7" s="9" t="str">
        <f aca="false">IF(M7="","",M7*Параметры!$B$10)</f>
        <v/>
      </c>
      <c r="R7" s="9" t="str">
        <f aca="false">IF(M7="","",Параметры!$B$7)</f>
        <v/>
      </c>
      <c r="S7" s="9" t="str">
        <f aca="false">IF(I7="","",I7*Параметры!$B$8)</f>
        <v/>
      </c>
      <c r="T7" s="9" t="str">
        <f aca="false">IF(M7="","",Параметры!$B$18)</f>
        <v/>
      </c>
      <c r="U7" s="11" t="str">
        <f aca="false">IF(M7="","",M7-L7-P7-R7-S7-T7)</f>
        <v/>
      </c>
      <c r="V7" s="11" t="str">
        <f aca="false">IF(M7="","",M7-L7-Q7-R7-S7-T7-Параметры!$B$11)</f>
        <v/>
      </c>
      <c r="W7" s="13" t="str">
        <f aca="false">IF(U7="","",U7/M7)</f>
        <v/>
      </c>
      <c r="X7" s="14" t="s">
        <v>47</v>
      </c>
      <c r="Y7" s="12"/>
    </row>
    <row r="8" customFormat="false" ht="15" hidden="false" customHeight="false" outlineLevel="0" collapsed="false">
      <c r="A8" s="6" t="s">
        <v>72</v>
      </c>
      <c r="B8" s="7" t="s">
        <v>40</v>
      </c>
      <c r="C8" s="7" t="s">
        <v>73</v>
      </c>
      <c r="D8" s="7" t="s">
        <v>74</v>
      </c>
      <c r="E8" s="7" t="s">
        <v>43</v>
      </c>
      <c r="F8" s="7" t="s">
        <v>44</v>
      </c>
      <c r="G8" s="8" t="s">
        <v>75</v>
      </c>
      <c r="H8" s="7" t="s">
        <v>76</v>
      </c>
      <c r="I8" s="9" t="str">
        <f aca="false">IF(SUMIFS(Состав!$R:$R,Состав!$A:$A,A8)=0,"",SUMIFS(Состав!$R:$R,Состав!$A:$A,A8))</f>
        <v/>
      </c>
      <c r="J8" s="10" t="n">
        <f aca="false">COUNTIFS(Состав!$A:$A,A8,Состав!$P:$P,"",Состав!$D:$D,"&gt;0")</f>
        <v>5</v>
      </c>
      <c r="K8" s="9" t="str">
        <f aca="false">IF(I8="","",Параметры!$B$3)</f>
        <v/>
      </c>
      <c r="L8" s="9" t="str">
        <f aca="false">IF(I8="","",I8+K8)</f>
        <v/>
      </c>
      <c r="M8" s="11" t="str">
        <f aca="false">IF(I8="","",IF(Y8&lt;&gt;"",Y8,CEILING((I8*(1+Параметры!$B$8*Параметры!$B$9)+K8)*(1+Параметры!$B$2),Параметры!$B$4)-Параметры!$B$5))</f>
        <v/>
      </c>
      <c r="N8" s="12"/>
      <c r="O8" s="7" t="str">
        <f aca="false">IF(OR(M8="",N8=""),"",IF(M8&lt;=N8,"не дороже рынка","дороже рынка"))</f>
        <v/>
      </c>
      <c r="P8" s="9" t="str">
        <f aca="false">IF(M8="","",M8*Параметры!$B$6)</f>
        <v/>
      </c>
      <c r="Q8" s="9" t="str">
        <f aca="false">IF(M8="","",M8*Параметры!$B$10)</f>
        <v/>
      </c>
      <c r="R8" s="9" t="str">
        <f aca="false">IF(M8="","",Параметры!$B$7)</f>
        <v/>
      </c>
      <c r="S8" s="9" t="str">
        <f aca="false">IF(I8="","",I8*Параметры!$B$8)</f>
        <v/>
      </c>
      <c r="T8" s="9" t="str">
        <f aca="false">IF(M8="","",Параметры!$B$18)</f>
        <v/>
      </c>
      <c r="U8" s="11" t="str">
        <f aca="false">IF(M8="","",M8-L8-P8-R8-S8-T8)</f>
        <v/>
      </c>
      <c r="V8" s="11" t="str">
        <f aca="false">IF(M8="","",M8-L8-Q8-R8-S8-T8-Параметры!$B$11)</f>
        <v/>
      </c>
      <c r="W8" s="13" t="str">
        <f aca="false">IF(U8="","",U8/M8)</f>
        <v/>
      </c>
      <c r="X8" s="14" t="s">
        <v>47</v>
      </c>
      <c r="Y8" s="12"/>
    </row>
    <row r="9" customFormat="false" ht="15" hidden="false" customHeight="false" outlineLevel="0" collapsed="false">
      <c r="A9" s="6" t="s">
        <v>77</v>
      </c>
      <c r="B9" s="7" t="s">
        <v>40</v>
      </c>
      <c r="C9" s="7" t="s">
        <v>78</v>
      </c>
      <c r="D9" s="7" t="s">
        <v>79</v>
      </c>
      <c r="E9" s="7" t="s">
        <v>43</v>
      </c>
      <c r="F9" s="7" t="s">
        <v>44</v>
      </c>
      <c r="G9" s="8" t="s">
        <v>80</v>
      </c>
      <c r="H9" s="7" t="s">
        <v>81</v>
      </c>
      <c r="I9" s="9" t="str">
        <f aca="false">IF(SUMIFS(Состав!$R:$R,Состав!$A:$A,A9)=0,"",SUMIFS(Состав!$R:$R,Состав!$A:$A,A9))</f>
        <v/>
      </c>
      <c r="J9" s="10" t="n">
        <f aca="false">COUNTIFS(Состав!$A:$A,A9,Состав!$P:$P,"",Состав!$D:$D,"&gt;0")</f>
        <v>5</v>
      </c>
      <c r="K9" s="9" t="str">
        <f aca="false">IF(I9="","",Параметры!$B$3)</f>
        <v/>
      </c>
      <c r="L9" s="9" t="str">
        <f aca="false">IF(I9="","",I9+K9)</f>
        <v/>
      </c>
      <c r="M9" s="11" t="str">
        <f aca="false">IF(I9="","",IF(Y9&lt;&gt;"",Y9,CEILING((I9*(1+Параметры!$B$8*Параметры!$B$9)+K9)*(1+Параметры!$B$2),Параметры!$B$4)-Параметры!$B$5))</f>
        <v/>
      </c>
      <c r="N9" s="12"/>
      <c r="O9" s="7" t="str">
        <f aca="false">IF(OR(M9="",N9=""),"",IF(M9&lt;=N9,"не дороже рынка","дороже рынка"))</f>
        <v/>
      </c>
      <c r="P9" s="9" t="str">
        <f aca="false">IF(M9="","",M9*Параметры!$B$6)</f>
        <v/>
      </c>
      <c r="Q9" s="9" t="str">
        <f aca="false">IF(M9="","",M9*Параметры!$B$10)</f>
        <v/>
      </c>
      <c r="R9" s="9" t="str">
        <f aca="false">IF(M9="","",Параметры!$B$7)</f>
        <v/>
      </c>
      <c r="S9" s="9" t="str">
        <f aca="false">IF(I9="","",I9*Параметры!$B$8)</f>
        <v/>
      </c>
      <c r="T9" s="9" t="str">
        <f aca="false">IF(M9="","",Параметры!$B$18)</f>
        <v/>
      </c>
      <c r="U9" s="11" t="str">
        <f aca="false">IF(M9="","",M9-L9-P9-R9-S9-T9)</f>
        <v/>
      </c>
      <c r="V9" s="11" t="str">
        <f aca="false">IF(M9="","",M9-L9-Q9-R9-S9-T9-Параметры!$B$11)</f>
        <v/>
      </c>
      <c r="W9" s="13" t="str">
        <f aca="false">IF(U9="","",U9/M9)</f>
        <v/>
      </c>
      <c r="X9" s="14" t="s">
        <v>47</v>
      </c>
      <c r="Y9" s="12"/>
    </row>
    <row r="10" customFormat="false" ht="15" hidden="false" customHeight="false" outlineLevel="0" collapsed="false">
      <c r="A10" s="6" t="s">
        <v>82</v>
      </c>
      <c r="B10" s="7" t="s">
        <v>40</v>
      </c>
      <c r="C10" s="7" t="s">
        <v>83</v>
      </c>
      <c r="D10" s="7" t="s">
        <v>84</v>
      </c>
      <c r="E10" s="7" t="s">
        <v>43</v>
      </c>
      <c r="F10" s="7" t="s">
        <v>44</v>
      </c>
      <c r="G10" s="8" t="s">
        <v>85</v>
      </c>
      <c r="H10" s="7" t="s">
        <v>86</v>
      </c>
      <c r="I10" s="9" t="str">
        <f aca="false">IF(SUMIFS(Состав!$R:$R,Состав!$A:$A,A10)=0,"",SUMIFS(Состав!$R:$R,Состав!$A:$A,A10))</f>
        <v/>
      </c>
      <c r="J10" s="10" t="n">
        <f aca="false">COUNTIFS(Состав!$A:$A,A10,Состав!$P:$P,"",Состав!$D:$D,"&gt;0")</f>
        <v>5</v>
      </c>
      <c r="K10" s="9" t="str">
        <f aca="false">IF(I10="","",Параметры!$B$3)</f>
        <v/>
      </c>
      <c r="L10" s="9" t="str">
        <f aca="false">IF(I10="","",I10+K10)</f>
        <v/>
      </c>
      <c r="M10" s="11" t="str">
        <f aca="false">IF(I10="","",IF(Y10&lt;&gt;"",Y10,CEILING((I10*(1+Параметры!$B$8*Параметры!$B$9)+K10)*(1+Параметры!$B$2),Параметры!$B$4)-Параметры!$B$5))</f>
        <v/>
      </c>
      <c r="N10" s="12"/>
      <c r="O10" s="7" t="str">
        <f aca="false">IF(OR(M10="",N10=""),"",IF(M10&lt;=N10,"не дороже рынка","дороже рынка"))</f>
        <v/>
      </c>
      <c r="P10" s="9" t="str">
        <f aca="false">IF(M10="","",M10*Параметры!$B$6)</f>
        <v/>
      </c>
      <c r="Q10" s="9" t="str">
        <f aca="false">IF(M10="","",M10*Параметры!$B$10)</f>
        <v/>
      </c>
      <c r="R10" s="9" t="str">
        <f aca="false">IF(M10="","",Параметры!$B$7)</f>
        <v/>
      </c>
      <c r="S10" s="9" t="str">
        <f aca="false">IF(I10="","",I10*Параметры!$B$8)</f>
        <v/>
      </c>
      <c r="T10" s="9" t="str">
        <f aca="false">IF(M10="","",Параметры!$B$18)</f>
        <v/>
      </c>
      <c r="U10" s="11" t="str">
        <f aca="false">IF(M10="","",M10-L10-P10-R10-S10-T10)</f>
        <v/>
      </c>
      <c r="V10" s="11" t="str">
        <f aca="false">IF(M10="","",M10-L10-Q10-R10-S10-T10-Параметры!$B$11)</f>
        <v/>
      </c>
      <c r="W10" s="13" t="str">
        <f aca="false">IF(U10="","",U10/M10)</f>
        <v/>
      </c>
      <c r="X10" s="14" t="s">
        <v>47</v>
      </c>
      <c r="Y10" s="12"/>
    </row>
    <row r="11" customFormat="false" ht="15" hidden="false" customHeight="false" outlineLevel="0" collapsed="false">
      <c r="A11" s="6" t="s">
        <v>87</v>
      </c>
      <c r="B11" s="7" t="s">
        <v>40</v>
      </c>
      <c r="C11" s="7" t="s">
        <v>88</v>
      </c>
      <c r="D11" s="7" t="s">
        <v>89</v>
      </c>
      <c r="E11" s="7" t="s">
        <v>43</v>
      </c>
      <c r="F11" s="7" t="s">
        <v>44</v>
      </c>
      <c r="G11" s="8" t="s">
        <v>90</v>
      </c>
      <c r="H11" s="7" t="s">
        <v>91</v>
      </c>
      <c r="I11" s="9" t="str">
        <f aca="false">IF(SUMIFS(Состав!$R:$R,Состав!$A:$A,A11)=0,"",SUMIFS(Состав!$R:$R,Состав!$A:$A,A11))</f>
        <v/>
      </c>
      <c r="J11" s="10" t="n">
        <f aca="false">COUNTIFS(Состав!$A:$A,A11,Состав!$P:$P,"",Состав!$D:$D,"&gt;0")</f>
        <v>5</v>
      </c>
      <c r="K11" s="9" t="str">
        <f aca="false">IF(I11="","",Параметры!$B$3)</f>
        <v/>
      </c>
      <c r="L11" s="9" t="str">
        <f aca="false">IF(I11="","",I11+K11)</f>
        <v/>
      </c>
      <c r="M11" s="11" t="str">
        <f aca="false">IF(I11="","",IF(Y11&lt;&gt;"",Y11,CEILING((I11*(1+Параметры!$B$8*Параметры!$B$9)+K11)*(1+Параметры!$B$2),Параметры!$B$4)-Параметры!$B$5))</f>
        <v/>
      </c>
      <c r="N11" s="12"/>
      <c r="O11" s="7" t="str">
        <f aca="false">IF(OR(M11="",N11=""),"",IF(M11&lt;=N11,"не дороже рынка","дороже рынка"))</f>
        <v/>
      </c>
      <c r="P11" s="9" t="str">
        <f aca="false">IF(M11="","",M11*Параметры!$B$6)</f>
        <v/>
      </c>
      <c r="Q11" s="9" t="str">
        <f aca="false">IF(M11="","",M11*Параметры!$B$10)</f>
        <v/>
      </c>
      <c r="R11" s="9" t="str">
        <f aca="false">IF(M11="","",Параметры!$B$7)</f>
        <v/>
      </c>
      <c r="S11" s="9" t="str">
        <f aca="false">IF(I11="","",I11*Параметры!$B$8)</f>
        <v/>
      </c>
      <c r="T11" s="9" t="str">
        <f aca="false">IF(M11="","",Параметры!$B$18)</f>
        <v/>
      </c>
      <c r="U11" s="11" t="str">
        <f aca="false">IF(M11="","",M11-L11-P11-R11-S11-T11)</f>
        <v/>
      </c>
      <c r="V11" s="11" t="str">
        <f aca="false">IF(M11="","",M11-L11-Q11-R11-S11-T11-Параметры!$B$11)</f>
        <v/>
      </c>
      <c r="W11" s="13" t="str">
        <f aca="false">IF(U11="","",U11/M11)</f>
        <v/>
      </c>
      <c r="X11" s="14" t="s">
        <v>47</v>
      </c>
      <c r="Y11" s="12"/>
    </row>
    <row r="12" customFormat="false" ht="15" hidden="false" customHeight="false" outlineLevel="0" collapsed="false">
      <c r="A12" s="6" t="s">
        <v>92</v>
      </c>
      <c r="B12" s="7" t="s">
        <v>40</v>
      </c>
      <c r="C12" s="7" t="s">
        <v>93</v>
      </c>
      <c r="D12" s="7" t="s">
        <v>89</v>
      </c>
      <c r="E12" s="7" t="s">
        <v>43</v>
      </c>
      <c r="F12" s="7" t="s">
        <v>44</v>
      </c>
      <c r="G12" s="8" t="s">
        <v>94</v>
      </c>
      <c r="H12" s="7" t="s">
        <v>95</v>
      </c>
      <c r="I12" s="9" t="str">
        <f aca="false">IF(SUMIFS(Состав!$R:$R,Состав!$A:$A,A12)=0,"",SUMIFS(Состав!$R:$R,Состав!$A:$A,A12))</f>
        <v/>
      </c>
      <c r="J12" s="10" t="n">
        <f aca="false">COUNTIFS(Состав!$A:$A,A12,Состав!$P:$P,"",Состав!$D:$D,"&gt;0")</f>
        <v>5</v>
      </c>
      <c r="K12" s="9" t="str">
        <f aca="false">IF(I12="","",Параметры!$B$3)</f>
        <v/>
      </c>
      <c r="L12" s="9" t="str">
        <f aca="false">IF(I12="","",I12+K12)</f>
        <v/>
      </c>
      <c r="M12" s="11" t="str">
        <f aca="false">IF(I12="","",IF(Y12&lt;&gt;"",Y12,CEILING((I12*(1+Параметры!$B$8*Параметры!$B$9)+K12)*(1+Параметры!$B$2),Параметры!$B$4)-Параметры!$B$5))</f>
        <v/>
      </c>
      <c r="N12" s="12"/>
      <c r="O12" s="7" t="str">
        <f aca="false">IF(OR(M12="",N12=""),"",IF(M12&lt;=N12,"не дороже рынка","дороже рынка"))</f>
        <v/>
      </c>
      <c r="P12" s="9" t="str">
        <f aca="false">IF(M12="","",M12*Параметры!$B$6)</f>
        <v/>
      </c>
      <c r="Q12" s="9" t="str">
        <f aca="false">IF(M12="","",M12*Параметры!$B$10)</f>
        <v/>
      </c>
      <c r="R12" s="9" t="str">
        <f aca="false">IF(M12="","",Параметры!$B$7)</f>
        <v/>
      </c>
      <c r="S12" s="9" t="str">
        <f aca="false">IF(I12="","",I12*Параметры!$B$8)</f>
        <v/>
      </c>
      <c r="T12" s="9" t="str">
        <f aca="false">IF(M12="","",Параметры!$B$18)</f>
        <v/>
      </c>
      <c r="U12" s="11" t="str">
        <f aca="false">IF(M12="","",M12-L12-P12-R12-S12-T12)</f>
        <v/>
      </c>
      <c r="V12" s="11" t="str">
        <f aca="false">IF(M12="","",M12-L12-Q12-R12-S12-T12-Параметры!$B$11)</f>
        <v/>
      </c>
      <c r="W12" s="13" t="str">
        <f aca="false">IF(U12="","",U12/M12)</f>
        <v/>
      </c>
      <c r="X12" s="14" t="s">
        <v>47</v>
      </c>
      <c r="Y12" s="12"/>
    </row>
    <row r="13" customFormat="false" ht="15" hidden="false" customHeight="false" outlineLevel="0" collapsed="false">
      <c r="A13" s="6" t="s">
        <v>96</v>
      </c>
      <c r="B13" s="7" t="s">
        <v>40</v>
      </c>
      <c r="C13" s="7" t="s">
        <v>97</v>
      </c>
      <c r="D13" s="7" t="s">
        <v>98</v>
      </c>
      <c r="E13" s="7" t="s">
        <v>99</v>
      </c>
      <c r="F13" s="7" t="s">
        <v>44</v>
      </c>
      <c r="G13" s="8" t="s">
        <v>100</v>
      </c>
      <c r="H13" s="7" t="s">
        <v>101</v>
      </c>
      <c r="I13" s="9" t="str">
        <f aca="false">IF(SUMIFS(Состав!$R:$R,Состав!$A:$A,A13)=0,"",SUMIFS(Состав!$R:$R,Состав!$A:$A,A13))</f>
        <v/>
      </c>
      <c r="J13" s="10" t="n">
        <f aca="false">COUNTIFS(Состав!$A:$A,A13,Состав!$P:$P,"",Состав!$D:$D,"&gt;0")</f>
        <v>5</v>
      </c>
      <c r="K13" s="9" t="str">
        <f aca="false">IF(I13="","",Параметры!$B$3)</f>
        <v/>
      </c>
      <c r="L13" s="9" t="str">
        <f aca="false">IF(I13="","",I13+K13)</f>
        <v/>
      </c>
      <c r="M13" s="11" t="str">
        <f aca="false">IF(I13="","",IF(Y13&lt;&gt;"",Y13,CEILING((I13*(1+Параметры!$B$8*Параметры!$B$9)+K13)*(1+Параметры!$B$2),Параметры!$B$4)-Параметры!$B$5))</f>
        <v/>
      </c>
      <c r="N13" s="12"/>
      <c r="O13" s="7" t="str">
        <f aca="false">IF(OR(M13="",N13=""),"",IF(M13&lt;=N13,"не дороже рынка","дороже рынка"))</f>
        <v/>
      </c>
      <c r="P13" s="9" t="str">
        <f aca="false">IF(M13="","",M13*Параметры!$B$6)</f>
        <v/>
      </c>
      <c r="Q13" s="9" t="str">
        <f aca="false">IF(M13="","",M13*Параметры!$B$10)</f>
        <v/>
      </c>
      <c r="R13" s="9" t="str">
        <f aca="false">IF(M13="","",Параметры!$B$7)</f>
        <v/>
      </c>
      <c r="S13" s="9" t="str">
        <f aca="false">IF(I13="","",I13*Параметры!$B$8)</f>
        <v/>
      </c>
      <c r="T13" s="9" t="str">
        <f aca="false">IF(M13="","",Параметры!$B$18)</f>
        <v/>
      </c>
      <c r="U13" s="11" t="str">
        <f aca="false">IF(M13="","",M13-L13-P13-R13-S13-T13)</f>
        <v/>
      </c>
      <c r="V13" s="11" t="str">
        <f aca="false">IF(M13="","",M13-L13-Q13-R13-S13-T13-Параметры!$B$11)</f>
        <v/>
      </c>
      <c r="W13" s="13" t="str">
        <f aca="false">IF(U13="","",U13/M13)</f>
        <v/>
      </c>
      <c r="X13" s="14" t="s">
        <v>47</v>
      </c>
      <c r="Y13" s="12"/>
    </row>
    <row r="14" customFormat="false" ht="15" hidden="false" customHeight="false" outlineLevel="0" collapsed="false">
      <c r="A14" s="6" t="s">
        <v>102</v>
      </c>
      <c r="B14" s="7" t="s">
        <v>40</v>
      </c>
      <c r="C14" s="7" t="s">
        <v>103</v>
      </c>
      <c r="D14" s="7" t="s">
        <v>104</v>
      </c>
      <c r="E14" s="7" t="s">
        <v>43</v>
      </c>
      <c r="F14" s="7" t="s">
        <v>44</v>
      </c>
      <c r="G14" s="8" t="s">
        <v>105</v>
      </c>
      <c r="H14" s="7" t="s">
        <v>106</v>
      </c>
      <c r="I14" s="9" t="str">
        <f aca="false">IF(SUMIFS(Состав!$R:$R,Состав!$A:$A,A14)=0,"",SUMIFS(Состав!$R:$R,Состав!$A:$A,A14))</f>
        <v/>
      </c>
      <c r="J14" s="10" t="n">
        <f aca="false">COUNTIFS(Состав!$A:$A,A14,Состав!$P:$P,"",Состав!$D:$D,"&gt;0")</f>
        <v>4</v>
      </c>
      <c r="K14" s="9" t="str">
        <f aca="false">IF(I14="","",Параметры!$B$3)</f>
        <v/>
      </c>
      <c r="L14" s="9" t="str">
        <f aca="false">IF(I14="","",I14+K14)</f>
        <v/>
      </c>
      <c r="M14" s="11" t="str">
        <f aca="false">IF(I14="","",IF(Y14&lt;&gt;"",Y14,CEILING((I14*(1+Параметры!$B$8*Параметры!$B$9)+K14)*(1+Параметры!$B$2),Параметры!$B$4)-Параметры!$B$5))</f>
        <v/>
      </c>
      <c r="N14" s="12"/>
      <c r="O14" s="7" t="str">
        <f aca="false">IF(OR(M14="",N14=""),"",IF(M14&lt;=N14,"не дороже рынка","дороже рынка"))</f>
        <v/>
      </c>
      <c r="P14" s="9" t="str">
        <f aca="false">IF(M14="","",M14*Параметры!$B$6)</f>
        <v/>
      </c>
      <c r="Q14" s="9" t="str">
        <f aca="false">IF(M14="","",M14*Параметры!$B$10)</f>
        <v/>
      </c>
      <c r="R14" s="9" t="str">
        <f aca="false">IF(M14="","",Параметры!$B$7)</f>
        <v/>
      </c>
      <c r="S14" s="9" t="str">
        <f aca="false">IF(I14="","",I14*Параметры!$B$8)</f>
        <v/>
      </c>
      <c r="T14" s="9" t="str">
        <f aca="false">IF(M14="","",Параметры!$B$18)</f>
        <v/>
      </c>
      <c r="U14" s="11" t="str">
        <f aca="false">IF(M14="","",M14-L14-P14-R14-S14-T14)</f>
        <v/>
      </c>
      <c r="V14" s="11" t="str">
        <f aca="false">IF(M14="","",M14-L14-Q14-R14-S14-T14-Параметры!$B$11)</f>
        <v/>
      </c>
      <c r="W14" s="13" t="str">
        <f aca="false">IF(U14="","",U14/M14)</f>
        <v/>
      </c>
      <c r="X14" s="14" t="s">
        <v>47</v>
      </c>
      <c r="Y14" s="12"/>
    </row>
    <row r="15" customFormat="false" ht="15" hidden="false" customHeight="false" outlineLevel="0" collapsed="false">
      <c r="A15" s="6" t="s">
        <v>107</v>
      </c>
      <c r="B15" s="7" t="s">
        <v>40</v>
      </c>
      <c r="C15" s="7" t="s">
        <v>108</v>
      </c>
      <c r="D15" s="7" t="s">
        <v>109</v>
      </c>
      <c r="E15" s="7" t="s">
        <v>110</v>
      </c>
      <c r="F15" s="7" t="s">
        <v>44</v>
      </c>
      <c r="G15" s="8" t="s">
        <v>111</v>
      </c>
      <c r="H15" s="7" t="s">
        <v>112</v>
      </c>
      <c r="I15" s="9" t="str">
        <f aca="false">IF(SUMIFS(Состав!$R:$R,Состав!$A:$A,A15)=0,"",SUMIFS(Состав!$R:$R,Состав!$A:$A,A15))</f>
        <v/>
      </c>
      <c r="J15" s="10" t="n">
        <f aca="false">COUNTIFS(Состав!$A:$A,A15,Состав!$P:$P,"",Состав!$D:$D,"&gt;0")</f>
        <v>4</v>
      </c>
      <c r="K15" s="9" t="str">
        <f aca="false">IF(I15="","",Параметры!$B$3)</f>
        <v/>
      </c>
      <c r="L15" s="9" t="str">
        <f aca="false">IF(I15="","",I15+K15)</f>
        <v/>
      </c>
      <c r="M15" s="11" t="str">
        <f aca="false">IF(I15="","",IF(Y15&lt;&gt;"",Y15,CEILING((I15*(1+Параметры!$B$8*Параметры!$B$9)+K15)*(1+Параметры!$B$2),Параметры!$B$4)-Параметры!$B$5))</f>
        <v/>
      </c>
      <c r="N15" s="12"/>
      <c r="O15" s="7" t="str">
        <f aca="false">IF(OR(M15="",N15=""),"",IF(M15&lt;=N15,"не дороже рынка","дороже рынка"))</f>
        <v/>
      </c>
      <c r="P15" s="9" t="str">
        <f aca="false">IF(M15="","",M15*Параметры!$B$6)</f>
        <v/>
      </c>
      <c r="Q15" s="9" t="str">
        <f aca="false">IF(M15="","",M15*Параметры!$B$10)</f>
        <v/>
      </c>
      <c r="R15" s="9" t="str">
        <f aca="false">IF(M15="","",Параметры!$B$7)</f>
        <v/>
      </c>
      <c r="S15" s="9" t="str">
        <f aca="false">IF(I15="","",I15*Параметры!$B$8)</f>
        <v/>
      </c>
      <c r="T15" s="9" t="str">
        <f aca="false">IF(M15="","",Параметры!$B$18)</f>
        <v/>
      </c>
      <c r="U15" s="11" t="str">
        <f aca="false">IF(M15="","",M15-L15-P15-R15-S15-T15)</f>
        <v/>
      </c>
      <c r="V15" s="11" t="str">
        <f aca="false">IF(M15="","",M15-L15-Q15-R15-S15-T15-Параметры!$B$11)</f>
        <v/>
      </c>
      <c r="W15" s="13" t="str">
        <f aca="false">IF(U15="","",U15/M15)</f>
        <v/>
      </c>
      <c r="X15" s="14" t="s">
        <v>47</v>
      </c>
      <c r="Y15" s="12"/>
    </row>
    <row r="16" customFormat="false" ht="15" hidden="false" customHeight="false" outlineLevel="0" collapsed="false">
      <c r="A16" s="6" t="s">
        <v>113</v>
      </c>
      <c r="B16" s="7" t="s">
        <v>114</v>
      </c>
      <c r="C16" s="7" t="s">
        <v>41</v>
      </c>
      <c r="D16" s="7" t="s">
        <v>42</v>
      </c>
      <c r="E16" s="7" t="s">
        <v>43</v>
      </c>
      <c r="F16" s="7" t="s">
        <v>44</v>
      </c>
      <c r="G16" s="8" t="s">
        <v>115</v>
      </c>
      <c r="H16" s="7" t="s">
        <v>116</v>
      </c>
      <c r="I16" s="9" t="str">
        <f aca="false">IF(SUMIFS(Состав!$R:$R,Состав!$A:$A,A16)=0,"",SUMIFS(Состав!$R:$R,Состав!$A:$A,A16))</f>
        <v/>
      </c>
      <c r="J16" s="10" t="n">
        <f aca="false">COUNTIFS(Состав!$A:$A,A16,Состав!$P:$P,"",Состав!$D:$D,"&gt;0")</f>
        <v>3</v>
      </c>
      <c r="K16" s="9" t="str">
        <f aca="false">IF(I16="","",Параметры!$B$3)</f>
        <v/>
      </c>
      <c r="L16" s="9" t="str">
        <f aca="false">IF(I16="","",I16+K16)</f>
        <v/>
      </c>
      <c r="M16" s="11" t="str">
        <f aca="false">IF(I16="","",IF(Y16&lt;&gt;"",Y16,CEILING((I16*(1+Параметры!$B$8*Параметры!$B$9)+K16)*(1+Параметры!$B$2),Параметры!$B$4)-Параметры!$B$5))</f>
        <v/>
      </c>
      <c r="N16" s="12"/>
      <c r="O16" s="7" t="str">
        <f aca="false">IF(OR(M16="",N16=""),"",IF(M16&lt;=N16,"не дороже рынка","дороже рынка"))</f>
        <v/>
      </c>
      <c r="P16" s="9" t="str">
        <f aca="false">IF(M16="","",M16*Параметры!$B$6)</f>
        <v/>
      </c>
      <c r="Q16" s="9" t="str">
        <f aca="false">IF(M16="","",M16*Параметры!$B$10)</f>
        <v/>
      </c>
      <c r="R16" s="9" t="str">
        <f aca="false">IF(M16="","",Параметры!$B$7)</f>
        <v/>
      </c>
      <c r="S16" s="9" t="str">
        <f aca="false">IF(I16="","",I16*Параметры!$B$8)</f>
        <v/>
      </c>
      <c r="T16" s="9" t="str">
        <f aca="false">IF(M16="","",Параметры!$B$18)</f>
        <v/>
      </c>
      <c r="U16" s="11" t="str">
        <f aca="false">IF(M16="","",M16-L16-P16-R16-S16-T16)</f>
        <v/>
      </c>
      <c r="V16" s="11" t="str">
        <f aca="false">IF(M16="","",M16-L16-Q16-R16-S16-T16-Параметры!$B$11)</f>
        <v/>
      </c>
      <c r="W16" s="13" t="str">
        <f aca="false">IF(U16="","",U16/M16)</f>
        <v/>
      </c>
      <c r="X16" s="14" t="s">
        <v>47</v>
      </c>
      <c r="Y16" s="12"/>
    </row>
    <row r="17" customFormat="false" ht="15" hidden="false" customHeight="false" outlineLevel="0" collapsed="false">
      <c r="A17" s="6" t="s">
        <v>117</v>
      </c>
      <c r="B17" s="7" t="s">
        <v>114</v>
      </c>
      <c r="C17" s="7" t="s">
        <v>49</v>
      </c>
      <c r="D17" s="7" t="s">
        <v>50</v>
      </c>
      <c r="E17" s="7" t="s">
        <v>43</v>
      </c>
      <c r="F17" s="7" t="s">
        <v>44</v>
      </c>
      <c r="G17" s="8" t="s">
        <v>118</v>
      </c>
      <c r="H17" s="7" t="s">
        <v>119</v>
      </c>
      <c r="I17" s="9" t="str">
        <f aca="false">IF(SUMIFS(Состав!$R:$R,Состав!$A:$A,A17)=0,"",SUMIFS(Состав!$R:$R,Состав!$A:$A,A17))</f>
        <v/>
      </c>
      <c r="J17" s="10" t="n">
        <f aca="false">COUNTIFS(Состав!$A:$A,A17,Состав!$P:$P,"",Состав!$D:$D,"&gt;0")</f>
        <v>3</v>
      </c>
      <c r="K17" s="9" t="str">
        <f aca="false">IF(I17="","",Параметры!$B$3)</f>
        <v/>
      </c>
      <c r="L17" s="9" t="str">
        <f aca="false">IF(I17="","",I17+K17)</f>
        <v/>
      </c>
      <c r="M17" s="11" t="str">
        <f aca="false">IF(I17="","",IF(Y17&lt;&gt;"",Y17,CEILING((I17*(1+Параметры!$B$8*Параметры!$B$9)+K17)*(1+Параметры!$B$2),Параметры!$B$4)-Параметры!$B$5))</f>
        <v/>
      </c>
      <c r="N17" s="12"/>
      <c r="O17" s="7" t="str">
        <f aca="false">IF(OR(M17="",N17=""),"",IF(M17&lt;=N17,"не дороже рынка","дороже рынка"))</f>
        <v/>
      </c>
      <c r="P17" s="9" t="str">
        <f aca="false">IF(M17="","",M17*Параметры!$B$6)</f>
        <v/>
      </c>
      <c r="Q17" s="9" t="str">
        <f aca="false">IF(M17="","",M17*Параметры!$B$10)</f>
        <v/>
      </c>
      <c r="R17" s="9" t="str">
        <f aca="false">IF(M17="","",Параметры!$B$7)</f>
        <v/>
      </c>
      <c r="S17" s="9" t="str">
        <f aca="false">IF(I17="","",I17*Параметры!$B$8)</f>
        <v/>
      </c>
      <c r="T17" s="9" t="str">
        <f aca="false">IF(M17="","",Параметры!$B$18)</f>
        <v/>
      </c>
      <c r="U17" s="11" t="str">
        <f aca="false">IF(M17="","",M17-L17-P17-R17-S17-T17)</f>
        <v/>
      </c>
      <c r="V17" s="11" t="str">
        <f aca="false">IF(M17="","",M17-L17-Q17-R17-S17-T17-Параметры!$B$11)</f>
        <v/>
      </c>
      <c r="W17" s="13" t="str">
        <f aca="false">IF(U17="","",U17/M17)</f>
        <v/>
      </c>
      <c r="X17" s="14" t="s">
        <v>47</v>
      </c>
      <c r="Y17" s="12"/>
    </row>
    <row r="18" customFormat="false" ht="15" hidden="false" customHeight="false" outlineLevel="0" collapsed="false">
      <c r="A18" s="6" t="s">
        <v>120</v>
      </c>
      <c r="B18" s="7" t="s">
        <v>114</v>
      </c>
      <c r="C18" s="7" t="s">
        <v>54</v>
      </c>
      <c r="D18" s="7" t="s">
        <v>42</v>
      </c>
      <c r="E18" s="7" t="s">
        <v>43</v>
      </c>
      <c r="F18" s="7" t="s">
        <v>44</v>
      </c>
      <c r="G18" s="8" t="s">
        <v>121</v>
      </c>
      <c r="H18" s="7" t="s">
        <v>122</v>
      </c>
      <c r="I18" s="9" t="str">
        <f aca="false">IF(SUMIFS(Состав!$R:$R,Состав!$A:$A,A18)=0,"",SUMIFS(Состав!$R:$R,Состав!$A:$A,A18))</f>
        <v/>
      </c>
      <c r="J18" s="10" t="n">
        <f aca="false">COUNTIFS(Состав!$A:$A,A18,Состав!$P:$P,"",Состав!$D:$D,"&gt;0")</f>
        <v>3</v>
      </c>
      <c r="K18" s="9" t="str">
        <f aca="false">IF(I18="","",Параметры!$B$3)</f>
        <v/>
      </c>
      <c r="L18" s="9" t="str">
        <f aca="false">IF(I18="","",I18+K18)</f>
        <v/>
      </c>
      <c r="M18" s="11" t="str">
        <f aca="false">IF(I18="","",IF(Y18&lt;&gt;"",Y18,CEILING((I18*(1+Параметры!$B$8*Параметры!$B$9)+K18)*(1+Параметры!$B$2),Параметры!$B$4)-Параметры!$B$5))</f>
        <v/>
      </c>
      <c r="N18" s="12"/>
      <c r="O18" s="7" t="str">
        <f aca="false">IF(OR(M18="",N18=""),"",IF(M18&lt;=N18,"не дороже рынка","дороже рынка"))</f>
        <v/>
      </c>
      <c r="P18" s="9" t="str">
        <f aca="false">IF(M18="","",M18*Параметры!$B$6)</f>
        <v/>
      </c>
      <c r="Q18" s="9" t="str">
        <f aca="false">IF(M18="","",M18*Параметры!$B$10)</f>
        <v/>
      </c>
      <c r="R18" s="9" t="str">
        <f aca="false">IF(M18="","",Параметры!$B$7)</f>
        <v/>
      </c>
      <c r="S18" s="9" t="str">
        <f aca="false">IF(I18="","",I18*Параметры!$B$8)</f>
        <v/>
      </c>
      <c r="T18" s="9" t="str">
        <f aca="false">IF(M18="","",Параметры!$B$18)</f>
        <v/>
      </c>
      <c r="U18" s="11" t="str">
        <f aca="false">IF(M18="","",M18-L18-P18-R18-S18-T18)</f>
        <v/>
      </c>
      <c r="V18" s="11" t="str">
        <f aca="false">IF(M18="","",M18-L18-Q18-R18-S18-T18-Параметры!$B$11)</f>
        <v/>
      </c>
      <c r="W18" s="13" t="str">
        <f aca="false">IF(U18="","",U18/M18)</f>
        <v/>
      </c>
      <c r="X18" s="14" t="s">
        <v>47</v>
      </c>
      <c r="Y18" s="12"/>
    </row>
    <row r="19" customFormat="false" ht="15" hidden="false" customHeight="false" outlineLevel="0" collapsed="false">
      <c r="A19" s="6" t="s">
        <v>123</v>
      </c>
      <c r="B19" s="7" t="s">
        <v>114</v>
      </c>
      <c r="C19" s="7" t="s">
        <v>58</v>
      </c>
      <c r="D19" s="7" t="s">
        <v>50</v>
      </c>
      <c r="E19" s="7" t="s">
        <v>43</v>
      </c>
      <c r="F19" s="7" t="s">
        <v>44</v>
      </c>
      <c r="G19" s="8" t="s">
        <v>124</v>
      </c>
      <c r="H19" s="7" t="s">
        <v>125</v>
      </c>
      <c r="I19" s="9" t="str">
        <f aca="false">IF(SUMIFS(Состав!$R:$R,Состав!$A:$A,A19)=0,"",SUMIFS(Состав!$R:$R,Состав!$A:$A,A19))</f>
        <v/>
      </c>
      <c r="J19" s="10" t="n">
        <f aca="false">COUNTIFS(Состав!$A:$A,A19,Состав!$P:$P,"",Состав!$D:$D,"&gt;0")</f>
        <v>3</v>
      </c>
      <c r="K19" s="9" t="str">
        <f aca="false">IF(I19="","",Параметры!$B$3)</f>
        <v/>
      </c>
      <c r="L19" s="9" t="str">
        <f aca="false">IF(I19="","",I19+K19)</f>
        <v/>
      </c>
      <c r="M19" s="11" t="str">
        <f aca="false">IF(I19="","",IF(Y19&lt;&gt;"",Y19,CEILING((I19*(1+Параметры!$B$8*Параметры!$B$9)+K19)*(1+Параметры!$B$2),Параметры!$B$4)-Параметры!$B$5))</f>
        <v/>
      </c>
      <c r="N19" s="12"/>
      <c r="O19" s="7" t="str">
        <f aca="false">IF(OR(M19="",N19=""),"",IF(M19&lt;=N19,"не дороже рынка","дороже рынка"))</f>
        <v/>
      </c>
      <c r="P19" s="9" t="str">
        <f aca="false">IF(M19="","",M19*Параметры!$B$6)</f>
        <v/>
      </c>
      <c r="Q19" s="9" t="str">
        <f aca="false">IF(M19="","",M19*Параметры!$B$10)</f>
        <v/>
      </c>
      <c r="R19" s="9" t="str">
        <f aca="false">IF(M19="","",Параметры!$B$7)</f>
        <v/>
      </c>
      <c r="S19" s="9" t="str">
        <f aca="false">IF(I19="","",I19*Параметры!$B$8)</f>
        <v/>
      </c>
      <c r="T19" s="9" t="str">
        <f aca="false">IF(M19="","",Параметры!$B$18)</f>
        <v/>
      </c>
      <c r="U19" s="11" t="str">
        <f aca="false">IF(M19="","",M19-L19-P19-R19-S19-T19)</f>
        <v/>
      </c>
      <c r="V19" s="11" t="str">
        <f aca="false">IF(M19="","",M19-L19-Q19-R19-S19-T19-Параметры!$B$11)</f>
        <v/>
      </c>
      <c r="W19" s="13" t="str">
        <f aca="false">IF(U19="","",U19/M19)</f>
        <v/>
      </c>
      <c r="X19" s="14" t="s">
        <v>47</v>
      </c>
      <c r="Y19" s="12"/>
    </row>
    <row r="20" customFormat="false" ht="15" hidden="false" customHeight="false" outlineLevel="0" collapsed="false">
      <c r="A20" s="6" t="s">
        <v>126</v>
      </c>
      <c r="B20" s="7" t="s">
        <v>114</v>
      </c>
      <c r="C20" s="7" t="s">
        <v>62</v>
      </c>
      <c r="D20" s="7" t="s">
        <v>63</v>
      </c>
      <c r="E20" s="7" t="s">
        <v>43</v>
      </c>
      <c r="F20" s="7" t="s">
        <v>127</v>
      </c>
      <c r="G20" s="8" t="s">
        <v>128</v>
      </c>
      <c r="H20" s="7" t="s">
        <v>129</v>
      </c>
      <c r="I20" s="9" t="str">
        <f aca="false">IF(SUMIFS(Состав!$R:$R,Состав!$A:$A,A20)=0,"",SUMIFS(Состав!$R:$R,Состав!$A:$A,A20))</f>
        <v/>
      </c>
      <c r="J20" s="10" t="n">
        <f aca="false">COUNTIFS(Состав!$A:$A,A20,Состав!$P:$P,"",Состав!$D:$D,"&gt;0")</f>
        <v>3</v>
      </c>
      <c r="K20" s="9" t="str">
        <f aca="false">IF(I20="","",Параметры!$B$3)</f>
        <v/>
      </c>
      <c r="L20" s="9" t="str">
        <f aca="false">IF(I20="","",I20+K20)</f>
        <v/>
      </c>
      <c r="M20" s="11" t="str">
        <f aca="false">IF(I20="","",IF(Y20&lt;&gt;"",Y20,CEILING((I20*(1+Параметры!$B$8*Параметры!$B$9)+K20)*(1+Параметры!$B$2),Параметры!$B$4)-Параметры!$B$5))</f>
        <v/>
      </c>
      <c r="N20" s="12"/>
      <c r="O20" s="7" t="str">
        <f aca="false">IF(OR(M20="",N20=""),"",IF(M20&lt;=N20,"не дороже рынка","дороже рынка"))</f>
        <v/>
      </c>
      <c r="P20" s="9" t="str">
        <f aca="false">IF(M20="","",M20*Параметры!$B$6)</f>
        <v/>
      </c>
      <c r="Q20" s="9" t="str">
        <f aca="false">IF(M20="","",M20*Параметры!$B$10)</f>
        <v/>
      </c>
      <c r="R20" s="9" t="str">
        <f aca="false">IF(M20="","",Параметры!$B$7)</f>
        <v/>
      </c>
      <c r="S20" s="9" t="str">
        <f aca="false">IF(I20="","",I20*Параметры!$B$8)</f>
        <v/>
      </c>
      <c r="T20" s="9" t="str">
        <f aca="false">IF(M20="","",Параметры!$B$18)</f>
        <v/>
      </c>
      <c r="U20" s="11" t="str">
        <f aca="false">IF(M20="","",M20-L20-P20-R20-S20-T20)</f>
        <v/>
      </c>
      <c r="V20" s="11" t="str">
        <f aca="false">IF(M20="","",M20-L20-Q20-R20-S20-T20-Параметры!$B$11)</f>
        <v/>
      </c>
      <c r="W20" s="13" t="str">
        <f aca="false">IF(U20="","",U20/M20)</f>
        <v/>
      </c>
      <c r="X20" s="14" t="s">
        <v>47</v>
      </c>
      <c r="Y20" s="12"/>
    </row>
    <row r="21" customFormat="false" ht="15" hidden="false" customHeight="false" outlineLevel="0" collapsed="false">
      <c r="A21" s="6" t="s">
        <v>130</v>
      </c>
      <c r="B21" s="7" t="s">
        <v>114</v>
      </c>
      <c r="C21" s="7" t="s">
        <v>67</v>
      </c>
      <c r="D21" s="7" t="s">
        <v>68</v>
      </c>
      <c r="E21" s="7" t="s">
        <v>69</v>
      </c>
      <c r="F21" s="7" t="s">
        <v>44</v>
      </c>
      <c r="G21" s="8" t="s">
        <v>131</v>
      </c>
      <c r="H21" s="7" t="s">
        <v>132</v>
      </c>
      <c r="I21" s="9" t="str">
        <f aca="false">IF(SUMIFS(Состав!$R:$R,Состав!$A:$A,A21)=0,"",SUMIFS(Состав!$R:$R,Состав!$A:$A,A21))</f>
        <v/>
      </c>
      <c r="J21" s="10" t="n">
        <f aca="false">COUNTIFS(Состав!$A:$A,A21,Состав!$P:$P,"",Состав!$D:$D,"&gt;0")</f>
        <v>1</v>
      </c>
      <c r="K21" s="9" t="str">
        <f aca="false">IF(I21="","",Параметры!$B$3)</f>
        <v/>
      </c>
      <c r="L21" s="9" t="str">
        <f aca="false">IF(I21="","",I21+K21)</f>
        <v/>
      </c>
      <c r="M21" s="11" t="str">
        <f aca="false">IF(I21="","",IF(Y21&lt;&gt;"",Y21,CEILING((I21*(1+Параметры!$B$8*Параметры!$B$9)+K21)*(1+Параметры!$B$2),Параметры!$B$4)-Параметры!$B$5))</f>
        <v/>
      </c>
      <c r="N21" s="12"/>
      <c r="O21" s="7" t="str">
        <f aca="false">IF(OR(M21="",N21=""),"",IF(M21&lt;=N21,"не дороже рынка","дороже рынка"))</f>
        <v/>
      </c>
      <c r="P21" s="9" t="str">
        <f aca="false">IF(M21="","",M21*Параметры!$B$6)</f>
        <v/>
      </c>
      <c r="Q21" s="9" t="str">
        <f aca="false">IF(M21="","",M21*Параметры!$B$10)</f>
        <v/>
      </c>
      <c r="R21" s="9" t="str">
        <f aca="false">IF(M21="","",Параметры!$B$7)</f>
        <v/>
      </c>
      <c r="S21" s="9" t="str">
        <f aca="false">IF(I21="","",I21*Параметры!$B$8)</f>
        <v/>
      </c>
      <c r="T21" s="9" t="str">
        <f aca="false">IF(M21="","",Параметры!$B$18)</f>
        <v/>
      </c>
      <c r="U21" s="11" t="str">
        <f aca="false">IF(M21="","",M21-L21-P21-R21-S21-T21)</f>
        <v/>
      </c>
      <c r="V21" s="11" t="str">
        <f aca="false">IF(M21="","",M21-L21-Q21-R21-S21-T21-Параметры!$B$11)</f>
        <v/>
      </c>
      <c r="W21" s="13" t="str">
        <f aca="false">IF(U21="","",U21/M21)</f>
        <v/>
      </c>
      <c r="X21" s="14" t="s">
        <v>47</v>
      </c>
      <c r="Y21" s="12"/>
    </row>
    <row r="22" customFormat="false" ht="15" hidden="false" customHeight="false" outlineLevel="0" collapsed="false">
      <c r="A22" s="6" t="s">
        <v>133</v>
      </c>
      <c r="B22" s="7" t="s">
        <v>114</v>
      </c>
      <c r="C22" s="7" t="s">
        <v>73</v>
      </c>
      <c r="D22" s="7" t="s">
        <v>74</v>
      </c>
      <c r="E22" s="7" t="s">
        <v>43</v>
      </c>
      <c r="F22" s="7" t="s">
        <v>127</v>
      </c>
      <c r="G22" s="8" t="s">
        <v>134</v>
      </c>
      <c r="H22" s="7" t="s">
        <v>135</v>
      </c>
      <c r="I22" s="9" t="str">
        <f aca="false">IF(SUMIFS(Состав!$R:$R,Состав!$A:$A,A22)=0,"",SUMIFS(Состав!$R:$R,Состав!$A:$A,A22))</f>
        <v/>
      </c>
      <c r="J22" s="10" t="n">
        <f aca="false">COUNTIFS(Состав!$A:$A,A22,Состав!$P:$P,"",Состав!$D:$D,"&gt;0")</f>
        <v>3</v>
      </c>
      <c r="K22" s="9" t="str">
        <f aca="false">IF(I22="","",Параметры!$B$3)</f>
        <v/>
      </c>
      <c r="L22" s="9" t="str">
        <f aca="false">IF(I22="","",I22+K22)</f>
        <v/>
      </c>
      <c r="M22" s="11" t="str">
        <f aca="false">IF(I22="","",IF(Y22&lt;&gt;"",Y22,CEILING((I22*(1+Параметры!$B$8*Параметры!$B$9)+K22)*(1+Параметры!$B$2),Параметры!$B$4)-Параметры!$B$5))</f>
        <v/>
      </c>
      <c r="N22" s="12"/>
      <c r="O22" s="7" t="str">
        <f aca="false">IF(OR(M22="",N22=""),"",IF(M22&lt;=N22,"не дороже рынка","дороже рынка"))</f>
        <v/>
      </c>
      <c r="P22" s="9" t="str">
        <f aca="false">IF(M22="","",M22*Параметры!$B$6)</f>
        <v/>
      </c>
      <c r="Q22" s="9" t="str">
        <f aca="false">IF(M22="","",M22*Параметры!$B$10)</f>
        <v/>
      </c>
      <c r="R22" s="9" t="str">
        <f aca="false">IF(M22="","",Параметры!$B$7)</f>
        <v/>
      </c>
      <c r="S22" s="9" t="str">
        <f aca="false">IF(I22="","",I22*Параметры!$B$8)</f>
        <v/>
      </c>
      <c r="T22" s="9" t="str">
        <f aca="false">IF(M22="","",Параметры!$B$18)</f>
        <v/>
      </c>
      <c r="U22" s="11" t="str">
        <f aca="false">IF(M22="","",M22-L22-P22-R22-S22-T22)</f>
        <v/>
      </c>
      <c r="V22" s="11" t="str">
        <f aca="false">IF(M22="","",M22-L22-Q22-R22-S22-T22-Параметры!$B$11)</f>
        <v/>
      </c>
      <c r="W22" s="13" t="str">
        <f aca="false">IF(U22="","",U22/M22)</f>
        <v/>
      </c>
      <c r="X22" s="14" t="s">
        <v>47</v>
      </c>
      <c r="Y22" s="12"/>
    </row>
    <row r="23" customFormat="false" ht="15" hidden="false" customHeight="false" outlineLevel="0" collapsed="false">
      <c r="A23" s="6" t="s">
        <v>136</v>
      </c>
      <c r="B23" s="7" t="s">
        <v>114</v>
      </c>
      <c r="C23" s="7" t="s">
        <v>78</v>
      </c>
      <c r="D23" s="7" t="s">
        <v>79</v>
      </c>
      <c r="E23" s="7" t="s">
        <v>43</v>
      </c>
      <c r="F23" s="7" t="s">
        <v>44</v>
      </c>
      <c r="G23" s="8" t="s">
        <v>137</v>
      </c>
      <c r="H23" s="7" t="s">
        <v>138</v>
      </c>
      <c r="I23" s="9" t="str">
        <f aca="false">IF(SUMIFS(Состав!$R:$R,Состав!$A:$A,A23)=0,"",SUMIFS(Состав!$R:$R,Состав!$A:$A,A23))</f>
        <v/>
      </c>
      <c r="J23" s="10" t="n">
        <f aca="false">COUNTIFS(Состав!$A:$A,A23,Состав!$P:$P,"",Состав!$D:$D,"&gt;0")</f>
        <v>3</v>
      </c>
      <c r="K23" s="9" t="str">
        <f aca="false">IF(I23="","",Параметры!$B$3)</f>
        <v/>
      </c>
      <c r="L23" s="9" t="str">
        <f aca="false">IF(I23="","",I23+K23)</f>
        <v/>
      </c>
      <c r="M23" s="11" t="str">
        <f aca="false">IF(I23="","",IF(Y23&lt;&gt;"",Y23,CEILING((I23*(1+Параметры!$B$8*Параметры!$B$9)+K23)*(1+Параметры!$B$2),Параметры!$B$4)-Параметры!$B$5))</f>
        <v/>
      </c>
      <c r="N23" s="12"/>
      <c r="O23" s="7" t="str">
        <f aca="false">IF(OR(M23="",N23=""),"",IF(M23&lt;=N23,"не дороже рынка","дороже рынка"))</f>
        <v/>
      </c>
      <c r="P23" s="9" t="str">
        <f aca="false">IF(M23="","",M23*Параметры!$B$6)</f>
        <v/>
      </c>
      <c r="Q23" s="9" t="str">
        <f aca="false">IF(M23="","",M23*Параметры!$B$10)</f>
        <v/>
      </c>
      <c r="R23" s="9" t="str">
        <f aca="false">IF(M23="","",Параметры!$B$7)</f>
        <v/>
      </c>
      <c r="S23" s="9" t="str">
        <f aca="false">IF(I23="","",I23*Параметры!$B$8)</f>
        <v/>
      </c>
      <c r="T23" s="9" t="str">
        <f aca="false">IF(M23="","",Параметры!$B$18)</f>
        <v/>
      </c>
      <c r="U23" s="11" t="str">
        <f aca="false">IF(M23="","",M23-L23-P23-R23-S23-T23)</f>
        <v/>
      </c>
      <c r="V23" s="11" t="str">
        <f aca="false">IF(M23="","",M23-L23-Q23-R23-S23-T23-Параметры!$B$11)</f>
        <v/>
      </c>
      <c r="W23" s="13" t="str">
        <f aca="false">IF(U23="","",U23/M23)</f>
        <v/>
      </c>
      <c r="X23" s="14" t="s">
        <v>47</v>
      </c>
      <c r="Y23" s="12"/>
    </row>
    <row r="24" customFormat="false" ht="15" hidden="false" customHeight="false" outlineLevel="0" collapsed="false">
      <c r="A24" s="6" t="s">
        <v>139</v>
      </c>
      <c r="B24" s="7" t="s">
        <v>114</v>
      </c>
      <c r="C24" s="7" t="s">
        <v>83</v>
      </c>
      <c r="D24" s="7" t="s">
        <v>84</v>
      </c>
      <c r="E24" s="7" t="s">
        <v>43</v>
      </c>
      <c r="F24" s="7" t="s">
        <v>127</v>
      </c>
      <c r="G24" s="8" t="s">
        <v>140</v>
      </c>
      <c r="H24" s="7" t="s">
        <v>141</v>
      </c>
      <c r="I24" s="9" t="str">
        <f aca="false">IF(SUMIFS(Состав!$R:$R,Состав!$A:$A,A24)=0,"",SUMIFS(Состав!$R:$R,Состав!$A:$A,A24))</f>
        <v/>
      </c>
      <c r="J24" s="10" t="n">
        <f aca="false">COUNTIFS(Состав!$A:$A,A24,Состав!$P:$P,"",Состав!$D:$D,"&gt;0")</f>
        <v>3</v>
      </c>
      <c r="K24" s="9" t="str">
        <f aca="false">IF(I24="","",Параметры!$B$3)</f>
        <v/>
      </c>
      <c r="L24" s="9" t="str">
        <f aca="false">IF(I24="","",I24+K24)</f>
        <v/>
      </c>
      <c r="M24" s="11" t="str">
        <f aca="false">IF(I24="","",IF(Y24&lt;&gt;"",Y24,CEILING((I24*(1+Параметры!$B$8*Параметры!$B$9)+K24)*(1+Параметры!$B$2),Параметры!$B$4)-Параметры!$B$5))</f>
        <v/>
      </c>
      <c r="N24" s="12"/>
      <c r="O24" s="7" t="str">
        <f aca="false">IF(OR(M24="",N24=""),"",IF(M24&lt;=N24,"не дороже рынка","дороже рынка"))</f>
        <v/>
      </c>
      <c r="P24" s="9" t="str">
        <f aca="false">IF(M24="","",M24*Параметры!$B$6)</f>
        <v/>
      </c>
      <c r="Q24" s="9" t="str">
        <f aca="false">IF(M24="","",M24*Параметры!$B$10)</f>
        <v/>
      </c>
      <c r="R24" s="9" t="str">
        <f aca="false">IF(M24="","",Параметры!$B$7)</f>
        <v/>
      </c>
      <c r="S24" s="9" t="str">
        <f aca="false">IF(I24="","",I24*Параметры!$B$8)</f>
        <v/>
      </c>
      <c r="T24" s="9" t="str">
        <f aca="false">IF(M24="","",Параметры!$B$18)</f>
        <v/>
      </c>
      <c r="U24" s="11" t="str">
        <f aca="false">IF(M24="","",M24-L24-P24-R24-S24-T24)</f>
        <v/>
      </c>
      <c r="V24" s="11" t="str">
        <f aca="false">IF(M24="","",M24-L24-Q24-R24-S24-T24-Параметры!$B$11)</f>
        <v/>
      </c>
      <c r="W24" s="13" t="str">
        <f aca="false">IF(U24="","",U24/M24)</f>
        <v/>
      </c>
      <c r="X24" s="14" t="s">
        <v>47</v>
      </c>
      <c r="Y24" s="12"/>
    </row>
    <row r="25" customFormat="false" ht="15" hidden="false" customHeight="false" outlineLevel="0" collapsed="false">
      <c r="A25" s="6" t="s">
        <v>142</v>
      </c>
      <c r="B25" s="7" t="s">
        <v>114</v>
      </c>
      <c r="C25" s="7" t="s">
        <v>143</v>
      </c>
      <c r="D25" s="7" t="s">
        <v>89</v>
      </c>
      <c r="E25" s="7" t="s">
        <v>43</v>
      </c>
      <c r="F25" s="7" t="s">
        <v>144</v>
      </c>
      <c r="G25" s="8" t="s">
        <v>145</v>
      </c>
      <c r="H25" s="7" t="s">
        <v>146</v>
      </c>
      <c r="I25" s="9" t="str">
        <f aca="false">IF(SUMIFS(Состав!$R:$R,Состав!$A:$A,A25)=0,"",SUMIFS(Состав!$R:$R,Состав!$A:$A,A25))</f>
        <v/>
      </c>
      <c r="J25" s="10" t="n">
        <f aca="false">COUNTIFS(Состав!$A:$A,A25,Состав!$P:$P,"",Состав!$D:$D,"&gt;0")</f>
        <v>3</v>
      </c>
      <c r="K25" s="9" t="str">
        <f aca="false">IF(I25="","",Параметры!$B$3)</f>
        <v/>
      </c>
      <c r="L25" s="9" t="str">
        <f aca="false">IF(I25="","",I25+K25)</f>
        <v/>
      </c>
      <c r="M25" s="11" t="str">
        <f aca="false">IF(I25="","",IF(Y25&lt;&gt;"",Y25,CEILING((I25*(1+Параметры!$B$8*Параметры!$B$9)+K25)*(1+Параметры!$B$2),Параметры!$B$4)-Параметры!$B$5))</f>
        <v/>
      </c>
      <c r="N25" s="12"/>
      <c r="O25" s="7" t="str">
        <f aca="false">IF(OR(M25="",N25=""),"",IF(M25&lt;=N25,"не дороже рынка","дороже рынка"))</f>
        <v/>
      </c>
      <c r="P25" s="9" t="str">
        <f aca="false">IF(M25="","",M25*Параметры!$B$6)</f>
        <v/>
      </c>
      <c r="Q25" s="9" t="str">
        <f aca="false">IF(M25="","",M25*Параметры!$B$10)</f>
        <v/>
      </c>
      <c r="R25" s="9" t="str">
        <f aca="false">IF(M25="","",Параметры!$B$7)</f>
        <v/>
      </c>
      <c r="S25" s="9" t="str">
        <f aca="false">IF(I25="","",I25*Параметры!$B$8)</f>
        <v/>
      </c>
      <c r="T25" s="9" t="str">
        <f aca="false">IF(M25="","",Параметры!$B$18)</f>
        <v/>
      </c>
      <c r="U25" s="11" t="str">
        <f aca="false">IF(M25="","",M25-L25-P25-R25-S25-T25)</f>
        <v/>
      </c>
      <c r="V25" s="11" t="str">
        <f aca="false">IF(M25="","",M25-L25-Q25-R25-S25-T25-Параметры!$B$11)</f>
        <v/>
      </c>
      <c r="W25" s="13" t="str">
        <f aca="false">IF(U25="","",U25/M25)</f>
        <v/>
      </c>
      <c r="X25" s="14" t="s">
        <v>47</v>
      </c>
      <c r="Y25" s="12"/>
    </row>
    <row r="26" customFormat="false" ht="15" hidden="false" customHeight="false" outlineLevel="0" collapsed="false">
      <c r="A26" s="6" t="s">
        <v>147</v>
      </c>
      <c r="B26" s="7" t="s">
        <v>114</v>
      </c>
      <c r="C26" s="7" t="s">
        <v>97</v>
      </c>
      <c r="D26" s="7" t="s">
        <v>98</v>
      </c>
      <c r="E26" s="7" t="s">
        <v>99</v>
      </c>
      <c r="F26" s="7" t="s">
        <v>44</v>
      </c>
      <c r="G26" s="8" t="s">
        <v>148</v>
      </c>
      <c r="H26" s="7" t="s">
        <v>149</v>
      </c>
      <c r="I26" s="9" t="str">
        <f aca="false">IF(SUMIFS(Состав!$R:$R,Состав!$A:$A,A26)=0,"",SUMIFS(Состав!$R:$R,Состав!$A:$A,A26))</f>
        <v/>
      </c>
      <c r="J26" s="10" t="n">
        <f aca="false">COUNTIFS(Состав!$A:$A,A26,Состав!$P:$P,"",Состав!$D:$D,"&gt;0")</f>
        <v>2</v>
      </c>
      <c r="K26" s="9" t="str">
        <f aca="false">IF(I26="","",Параметры!$B$3)</f>
        <v/>
      </c>
      <c r="L26" s="9" t="str">
        <f aca="false">IF(I26="","",I26+K26)</f>
        <v/>
      </c>
      <c r="M26" s="11" t="str">
        <f aca="false">IF(I26="","",IF(Y26&lt;&gt;"",Y26,CEILING((I26*(1+Параметры!$B$8*Параметры!$B$9)+K26)*(1+Параметры!$B$2),Параметры!$B$4)-Параметры!$B$5))</f>
        <v/>
      </c>
      <c r="N26" s="12"/>
      <c r="O26" s="7" t="str">
        <f aca="false">IF(OR(M26="",N26=""),"",IF(M26&lt;=N26,"не дороже рынка","дороже рынка"))</f>
        <v/>
      </c>
      <c r="P26" s="9" t="str">
        <f aca="false">IF(M26="","",M26*Параметры!$B$6)</f>
        <v/>
      </c>
      <c r="Q26" s="9" t="str">
        <f aca="false">IF(M26="","",M26*Параметры!$B$10)</f>
        <v/>
      </c>
      <c r="R26" s="9" t="str">
        <f aca="false">IF(M26="","",Параметры!$B$7)</f>
        <v/>
      </c>
      <c r="S26" s="9" t="str">
        <f aca="false">IF(I26="","",I26*Параметры!$B$8)</f>
        <v/>
      </c>
      <c r="T26" s="9" t="str">
        <f aca="false">IF(M26="","",Параметры!$B$18)</f>
        <v/>
      </c>
      <c r="U26" s="11" t="str">
        <f aca="false">IF(M26="","",M26-L26-P26-R26-S26-T26)</f>
        <v/>
      </c>
      <c r="V26" s="11" t="str">
        <f aca="false">IF(M26="","",M26-L26-Q26-R26-S26-T26-Параметры!$B$11)</f>
        <v/>
      </c>
      <c r="W26" s="13" t="str">
        <f aca="false">IF(U26="","",U26/M26)</f>
        <v/>
      </c>
      <c r="X26" s="14" t="s">
        <v>47</v>
      </c>
      <c r="Y26" s="12" t="n">
        <v>9990</v>
      </c>
    </row>
  </sheetData>
  <conditionalFormatting sqref="J2:J26">
    <cfRule type="cellIs" priority="2" operator="greaterThan" aboveAverage="0" equalAverage="0" bottom="0" percent="0" rank="0" text="" dxfId="0">
      <formula>0</formula>
    </cfRule>
  </conditionalFormatting>
  <conditionalFormatting sqref="O2:O26">
    <cfRule type="cellIs" priority="3" operator="equal" aboveAverage="0" equalAverage="0" bottom="0" percent="0" rank="0" text="" dxfId="1">
      <formula>"дороже рынка"</formula>
    </cfRule>
  </conditionalFormatting>
  <conditionalFormatting sqref="U2:U26">
    <cfRule type="cellIs" priority="4" operator="lessThan" aboveAverage="0" equalAverage="0" bottom="0" percent="0" rank="0" text="" dxfId="2">
      <formula>0</formula>
    </cfRule>
  </conditionalFormatting>
  <conditionalFormatting sqref="V2:V26">
    <cfRule type="cellIs" priority="5" operator="lessThan" aboveAverage="0" equalAverage="0" bottom="0" percent="0" rank="0" text="" dxfId="2">
      <formula>0</formula>
    </cfRule>
  </conditionalFormatting>
  <dataValidations count="1">
    <dataValidation allowBlank="true" errorStyle="stop" operator="between" showDropDown="false" showErrorMessage="false" showInputMessage="false" sqref="X2:X26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4"/>
    <col collapsed="false" customWidth="true" hidden="false" outlineLevel="0" max="7" min="6" style="0" width="13"/>
    <col collapsed="false" customWidth="true" hidden="false" outlineLevel="0" max="10" min="8" style="0" width="12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3"/>
  </cols>
  <sheetData>
    <row r="1" customFormat="false" ht="17.35" hidden="false" customHeight="false" outlineLevel="0" collapsed="false">
      <c r="A1" s="1" t="s">
        <v>150</v>
      </c>
    </row>
    <row r="3" customFormat="false" ht="31.5" hidden="false" customHeight="true" outlineLevel="0" collapsed="false">
      <c r="A3" s="5"/>
      <c r="B3" s="5" t="s">
        <v>151</v>
      </c>
      <c r="C3" s="5" t="s">
        <v>152</v>
      </c>
      <c r="D3" s="5" t="s">
        <v>153</v>
      </c>
      <c r="E3" s="5"/>
      <c r="F3" s="5"/>
      <c r="G3" s="5"/>
      <c r="H3" s="5"/>
      <c r="I3" s="5"/>
      <c r="J3" s="5"/>
      <c r="K3" s="5"/>
      <c r="L3" s="5"/>
    </row>
    <row r="4" customFormat="false" ht="30" hidden="false" customHeight="true" outlineLevel="0" collapsed="false">
      <c r="A4" s="7" t="s">
        <v>154</v>
      </c>
      <c r="B4" s="12" t="n">
        <v>4490</v>
      </c>
      <c r="C4" s="12" t="n">
        <v>9990</v>
      </c>
      <c r="D4" s="8" t="s">
        <v>155</v>
      </c>
      <c r="E4" s="8"/>
      <c r="F4" s="8"/>
      <c r="G4" s="8"/>
      <c r="H4" s="8"/>
      <c r="I4" s="8"/>
      <c r="J4" s="8"/>
      <c r="K4" s="8"/>
      <c r="L4" s="8"/>
    </row>
    <row r="5" customFormat="false" ht="30" hidden="false" customHeight="true" outlineLevel="0" collapsed="false">
      <c r="A5" s="7" t="s">
        <v>156</v>
      </c>
      <c r="B5" s="12" t="n">
        <v>3365</v>
      </c>
      <c r="C5" s="12" t="n">
        <v>7056.23</v>
      </c>
      <c r="D5" s="8" t="s">
        <v>157</v>
      </c>
      <c r="E5" s="8"/>
      <c r="F5" s="8"/>
      <c r="G5" s="8"/>
      <c r="H5" s="8"/>
      <c r="I5" s="8"/>
      <c r="J5" s="8"/>
      <c r="K5" s="8"/>
      <c r="L5" s="8"/>
    </row>
    <row r="6" customFormat="false" ht="15" hidden="false" customHeight="true" outlineLevel="0" collapsed="false">
      <c r="A6" s="7" t="s">
        <v>158</v>
      </c>
      <c r="B6" s="15" t="n">
        <v>0.5</v>
      </c>
      <c r="D6" s="8" t="s">
        <v>159</v>
      </c>
      <c r="E6" s="8"/>
      <c r="F6" s="8"/>
      <c r="G6" s="8"/>
      <c r="H6" s="8"/>
      <c r="I6" s="8"/>
      <c r="J6" s="8"/>
      <c r="K6" s="8"/>
      <c r="L6" s="8"/>
    </row>
    <row r="7" customFormat="false" ht="15" hidden="false" customHeight="false" outlineLevel="0" collapsed="false">
      <c r="A7" s="7" t="s">
        <v>160</v>
      </c>
      <c r="B7" s="9" t="str">
        <f aca="false">IFERROR(AVERAGEIFS(Киты!$M:$M,Киты!$B:$B,"ТО",Киты!$M:$M,"&gt;0"),"")</f>
        <v/>
      </c>
      <c r="C7" s="9" t="str">
        <f aca="false">IFERROR(AVERAGEIFS(Киты!$M:$M,Киты!$B:$B,"ГРМ",Киты!$M:$M,"&gt;0"),"")</f>
        <v/>
      </c>
    </row>
    <row r="8" customFormat="false" ht="15" hidden="false" customHeight="false" outlineLevel="0" collapsed="false">
      <c r="A8" s="7" t="s">
        <v>161</v>
      </c>
      <c r="B8" s="9" t="str">
        <f aca="false">IFERROR(AVERAGEIFS(Киты!$I:$I,Киты!$B:$B,"ТО",Киты!$I:$I,"&gt;0"),"")</f>
        <v/>
      </c>
      <c r="C8" s="9" t="str">
        <f aca="false">IFERROR(AVERAGEIFS(Киты!$I:$I,Киты!$B:$B,"ГРМ",Киты!$I:$I,"&gt;0"),"")</f>
        <v/>
      </c>
    </row>
    <row r="9" customFormat="false" ht="15" hidden="false" customHeight="true" outlineLevel="0" collapsed="false">
      <c r="A9" s="7" t="s">
        <v>162</v>
      </c>
      <c r="B9" s="9" t="n">
        <f aca="false">(Параметры!$B$12+Параметры!$B$13+Параметры!$B$14+Параметры!$B$15+Параметры!$B$16)</f>
        <v>6783</v>
      </c>
      <c r="D9" s="8" t="s">
        <v>163</v>
      </c>
      <c r="E9" s="8"/>
      <c r="F9" s="8"/>
      <c r="G9" s="8"/>
      <c r="H9" s="8"/>
      <c r="I9" s="8"/>
      <c r="J9" s="8"/>
      <c r="K9" s="8"/>
      <c r="L9" s="8"/>
    </row>
    <row r="10" customFormat="false" ht="15" hidden="false" customHeight="false" outlineLevel="0" collapsed="false">
      <c r="A10" s="7" t="s">
        <v>164</v>
      </c>
      <c r="B10" s="11" t="n">
        <f aca="false">B4-(B5+Параметры!$B$3)-$B$6*B4*Параметры!$B$6-(1-$B$6)*(B4*Параметры!$B$10+Параметры!$B$11)-Параметры!$B$7-B5*Параметры!$B$8</f>
        <v>565.11</v>
      </c>
      <c r="C10" s="11" t="n">
        <f aca="false">C4-(C5+Параметры!$B$3)-$B$6*C4*Параметры!$B$6-(1-$B$6)*(C4*Параметры!$B$10+Параметры!$B$11)-Параметры!$B$7-C5*Параметры!$B$8</f>
        <v>1991.3185</v>
      </c>
    </row>
    <row r="11" customFormat="false" ht="15" hidden="false" customHeight="true" outlineLevel="0" collapsed="false">
      <c r="A11" s="6" t="s">
        <v>165</v>
      </c>
      <c r="B11" s="6" t="n">
        <f aca="false">IF(B10&lt;=0,"не окупается",ROUNDUP($B$9/B10,0))</f>
        <v>13</v>
      </c>
      <c r="C11" s="6" t="n">
        <f aca="false">IF(C10&lt;=0,"не окупается",ROUNDUP($B$9/C10,0))</f>
        <v>4</v>
      </c>
      <c r="D11" s="8" t="s">
        <v>166</v>
      </c>
      <c r="E11" s="8"/>
      <c r="F11" s="8"/>
      <c r="G11" s="8"/>
      <c r="H11" s="8"/>
      <c r="I11" s="8"/>
      <c r="J11" s="8"/>
      <c r="K11" s="8"/>
      <c r="L11" s="8"/>
    </row>
    <row r="13" customFormat="false" ht="43.5" hidden="false" customHeight="true" outlineLevel="0" collapsed="false">
      <c r="A13" s="5" t="s">
        <v>167</v>
      </c>
      <c r="B13" s="5" t="s">
        <v>168</v>
      </c>
      <c r="C13" s="5" t="s">
        <v>169</v>
      </c>
      <c r="D13" s="5" t="s">
        <v>170</v>
      </c>
      <c r="E13" s="5" t="s">
        <v>171</v>
      </c>
      <c r="F13" s="5" t="s">
        <v>29</v>
      </c>
      <c r="G13" s="5" t="s">
        <v>30</v>
      </c>
      <c r="H13" s="5" t="s">
        <v>31</v>
      </c>
      <c r="I13" s="5" t="s">
        <v>32</v>
      </c>
      <c r="J13" s="5" t="s">
        <v>172</v>
      </c>
      <c r="K13" s="5" t="s">
        <v>173</v>
      </c>
      <c r="L13" s="5" t="s">
        <v>174</v>
      </c>
      <c r="M13" s="5" t="s">
        <v>175</v>
      </c>
    </row>
    <row r="14" customFormat="false" ht="15" hidden="false" customHeight="false" outlineLevel="0" collapsed="false">
      <c r="A14" s="7" t="s">
        <v>176</v>
      </c>
      <c r="B14" s="16" t="n">
        <v>0</v>
      </c>
      <c r="C14" s="16" t="n">
        <v>5</v>
      </c>
      <c r="D14" s="9" t="n">
        <f aca="false">B14*$B$4+C14*$C$4</f>
        <v>49950</v>
      </c>
      <c r="E14" s="9" t="n">
        <f aca="false">B14*($B$5+Параметры!$B$3)+C14*($C$5+Параметры!$B$3)</f>
        <v>35531.15</v>
      </c>
      <c r="F14" s="9" t="n">
        <f aca="false">$B$6*D14*Параметры!$B$6</f>
        <v>1623.375</v>
      </c>
      <c r="G14" s="9" t="n">
        <f aca="false">(1-$B$6)*D14*Параметры!$B$10</f>
        <v>174.825</v>
      </c>
      <c r="H14" s="9" t="n">
        <f aca="false">(B14+C14)*Параметры!$B$7</f>
        <v>900</v>
      </c>
      <c r="I14" s="9" t="n">
        <f aca="false">(B14*$B$5+C14*$C$5)*Параметры!$B$8</f>
        <v>1764.0575</v>
      </c>
      <c r="J14" s="9" t="n">
        <f aca="false">(B14+C14)*(1-$B$6)*Параметры!$B$11</f>
        <v>0</v>
      </c>
      <c r="K14" s="9" t="n">
        <f aca="false">$B$9</f>
        <v>6783</v>
      </c>
      <c r="L14" s="11" t="n">
        <f aca="false">D14-SUM(E14:K14)</f>
        <v>3173.59250000001</v>
      </c>
      <c r="M14" s="9" t="n">
        <f aca="false">IF(B14+C14=0,"",L14/(B14+C14))</f>
        <v>634.718500000001</v>
      </c>
    </row>
    <row r="15" customFormat="false" ht="15" hidden="false" customHeight="false" outlineLevel="0" collapsed="false">
      <c r="A15" s="7" t="s">
        <v>176</v>
      </c>
      <c r="B15" s="16" t="n">
        <v>0</v>
      </c>
      <c r="C15" s="16" t="n">
        <v>10</v>
      </c>
      <c r="D15" s="9" t="n">
        <f aca="false">B15*$B$4+C15*$C$4</f>
        <v>99900</v>
      </c>
      <c r="E15" s="9" t="n">
        <f aca="false">B15*($B$5+Параметры!$B$3)+C15*($C$5+Параметры!$B$3)</f>
        <v>71062.3</v>
      </c>
      <c r="F15" s="9" t="n">
        <f aca="false">$B$6*D15*Параметры!$B$6</f>
        <v>3246.75</v>
      </c>
      <c r="G15" s="9" t="n">
        <f aca="false">(1-$B$6)*D15*Параметры!$B$10</f>
        <v>349.65</v>
      </c>
      <c r="H15" s="9" t="n">
        <f aca="false">(B15+C15)*Параметры!$B$7</f>
        <v>1800</v>
      </c>
      <c r="I15" s="9" t="n">
        <f aca="false">(B15*$B$5+C15*$C$5)*Параметры!$B$8</f>
        <v>3528.115</v>
      </c>
      <c r="J15" s="9" t="n">
        <f aca="false">(B15+C15)*(1-$B$6)*Параметры!$B$11</f>
        <v>0</v>
      </c>
      <c r="K15" s="9" t="n">
        <f aca="false">$B$9</f>
        <v>6783</v>
      </c>
      <c r="L15" s="11" t="n">
        <f aca="false">D15-SUM(E15:K15)</f>
        <v>13130.185</v>
      </c>
      <c r="M15" s="9" t="n">
        <f aca="false">IF(B15+C15=0,"",L15/(B15+C15))</f>
        <v>1313.0185</v>
      </c>
    </row>
    <row r="16" customFormat="false" ht="15" hidden="false" customHeight="false" outlineLevel="0" collapsed="false">
      <c r="A16" s="7" t="s">
        <v>176</v>
      </c>
      <c r="B16" s="16" t="n">
        <v>0</v>
      </c>
      <c r="C16" s="16" t="n">
        <v>15</v>
      </c>
      <c r="D16" s="9" t="n">
        <f aca="false">B16*$B$4+C16*$C$4</f>
        <v>149850</v>
      </c>
      <c r="E16" s="9" t="n">
        <f aca="false">B16*($B$5+Параметры!$B$3)+C16*($C$5+Параметры!$B$3)</f>
        <v>106593.45</v>
      </c>
      <c r="F16" s="9" t="n">
        <f aca="false">$B$6*D16*Параметры!$B$6</f>
        <v>4870.125</v>
      </c>
      <c r="G16" s="9" t="n">
        <f aca="false">(1-$B$6)*D16*Параметры!$B$10</f>
        <v>524.475</v>
      </c>
      <c r="H16" s="9" t="n">
        <f aca="false">(B16+C16)*Параметры!$B$7</f>
        <v>2700</v>
      </c>
      <c r="I16" s="9" t="n">
        <f aca="false">(B16*$B$5+C16*$C$5)*Параметры!$B$8</f>
        <v>5292.1725</v>
      </c>
      <c r="J16" s="9" t="n">
        <f aca="false">(B16+C16)*(1-$B$6)*Параметры!$B$11</f>
        <v>0</v>
      </c>
      <c r="K16" s="9" t="n">
        <f aca="false">$B$9</f>
        <v>6783</v>
      </c>
      <c r="L16" s="11" t="n">
        <f aca="false">D16-SUM(E16:K16)</f>
        <v>23086.7775</v>
      </c>
      <c r="M16" s="9" t="n">
        <f aca="false">IF(B16+C16=0,"",L16/(B16+C16))</f>
        <v>1539.1185</v>
      </c>
    </row>
    <row r="17" customFormat="false" ht="15" hidden="false" customHeight="false" outlineLevel="0" collapsed="false">
      <c r="A17" s="7" t="s">
        <v>176</v>
      </c>
      <c r="B17" s="16" t="n">
        <v>0</v>
      </c>
      <c r="C17" s="16" t="n">
        <v>20</v>
      </c>
      <c r="D17" s="9" t="n">
        <f aca="false">B17*$B$4+C17*$C$4</f>
        <v>199800</v>
      </c>
      <c r="E17" s="9" t="n">
        <f aca="false">B17*($B$5+Параметры!$B$3)+C17*($C$5+Параметры!$B$3)</f>
        <v>142124.6</v>
      </c>
      <c r="F17" s="9" t="n">
        <f aca="false">$B$6*D17*Параметры!$B$6</f>
        <v>6493.5</v>
      </c>
      <c r="G17" s="9" t="n">
        <f aca="false">(1-$B$6)*D17*Параметры!$B$10</f>
        <v>699.3</v>
      </c>
      <c r="H17" s="9" t="n">
        <f aca="false">(B17+C17)*Параметры!$B$7</f>
        <v>3600</v>
      </c>
      <c r="I17" s="9" t="n">
        <f aca="false">(B17*$B$5+C17*$C$5)*Параметры!$B$8</f>
        <v>7056.23</v>
      </c>
      <c r="J17" s="9" t="n">
        <f aca="false">(B17+C17)*(1-$B$6)*Параметры!$B$11</f>
        <v>0</v>
      </c>
      <c r="K17" s="9" t="n">
        <f aca="false">$B$9</f>
        <v>6783</v>
      </c>
      <c r="L17" s="11" t="n">
        <f aca="false">D17-SUM(E17:K17)</f>
        <v>33043.37</v>
      </c>
      <c r="M17" s="9" t="n">
        <f aca="false">IF(B17+C17=0,"",L17/(B17+C17))</f>
        <v>1652.1685</v>
      </c>
    </row>
    <row r="18" customFormat="false" ht="15" hidden="false" customHeight="false" outlineLevel="0" collapsed="false">
      <c r="A18" s="7" t="s">
        <v>176</v>
      </c>
      <c r="B18" s="16" t="n">
        <v>0</v>
      </c>
      <c r="C18" s="16" t="n">
        <v>30</v>
      </c>
      <c r="D18" s="9" t="n">
        <f aca="false">B18*$B$4+C18*$C$4</f>
        <v>299700</v>
      </c>
      <c r="E18" s="9" t="n">
        <f aca="false">B18*($B$5+Параметры!$B$3)+C18*($C$5+Параметры!$B$3)</f>
        <v>213186.9</v>
      </c>
      <c r="F18" s="9" t="n">
        <f aca="false">$B$6*D18*Параметры!$B$6</f>
        <v>9740.25</v>
      </c>
      <c r="G18" s="9" t="n">
        <f aca="false">(1-$B$6)*D18*Параметры!$B$10</f>
        <v>1048.95</v>
      </c>
      <c r="H18" s="9" t="n">
        <f aca="false">(B18+C18)*Параметры!$B$7</f>
        <v>5400</v>
      </c>
      <c r="I18" s="9" t="n">
        <f aca="false">(B18*$B$5+C18*$C$5)*Параметры!$B$8</f>
        <v>10584.345</v>
      </c>
      <c r="J18" s="9" t="n">
        <f aca="false">(B18+C18)*(1-$B$6)*Параметры!$B$11</f>
        <v>0</v>
      </c>
      <c r="K18" s="9" t="n">
        <f aca="false">$B$9</f>
        <v>6783</v>
      </c>
      <c r="L18" s="11" t="n">
        <f aca="false">D18-SUM(E18:K18)</f>
        <v>52956.555</v>
      </c>
      <c r="M18" s="9" t="n">
        <f aca="false">IF(B18+C18=0,"",L18/(B18+C18))</f>
        <v>1765.2185</v>
      </c>
    </row>
    <row r="19" customFormat="false" ht="15" hidden="false" customHeight="false" outlineLevel="0" collapsed="false">
      <c r="A19" s="7" t="s">
        <v>177</v>
      </c>
      <c r="B19" s="16" t="n">
        <v>20</v>
      </c>
      <c r="C19" s="16" t="n">
        <v>0</v>
      </c>
      <c r="D19" s="9" t="n">
        <f aca="false">B19*$B$4+C19*$C$4</f>
        <v>89800</v>
      </c>
      <c r="E19" s="9" t="n">
        <f aca="false">B19*($B$5+Параметры!$B$3)+C19*($C$5+Параметры!$B$3)</f>
        <v>68300</v>
      </c>
      <c r="F19" s="9" t="n">
        <f aca="false">$B$6*D19*Параметры!$B$6</f>
        <v>2918.5</v>
      </c>
      <c r="G19" s="9" t="n">
        <f aca="false">(1-$B$6)*D19*Параметры!$B$10</f>
        <v>314.3</v>
      </c>
      <c r="H19" s="9" t="n">
        <f aca="false">(B19+C19)*Параметры!$B$7</f>
        <v>3600</v>
      </c>
      <c r="I19" s="9" t="n">
        <f aca="false">(B19*$B$5+C19*$C$5)*Параметры!$B$8</f>
        <v>3365</v>
      </c>
      <c r="J19" s="9" t="n">
        <f aca="false">(B19+C19)*(1-$B$6)*Параметры!$B$11</f>
        <v>0</v>
      </c>
      <c r="K19" s="9" t="n">
        <f aca="false">$B$9</f>
        <v>6783</v>
      </c>
      <c r="L19" s="11" t="n">
        <f aca="false">D19-SUM(E19:K19)</f>
        <v>4519.2</v>
      </c>
      <c r="M19" s="9" t="n">
        <f aca="false">IF(B19+C19=0,"",L19/(B19+C19))</f>
        <v>225.96</v>
      </c>
    </row>
    <row r="20" customFormat="false" ht="15" hidden="false" customHeight="false" outlineLevel="0" collapsed="false">
      <c r="A20" s="7" t="s">
        <v>178</v>
      </c>
      <c r="B20" s="16" t="n">
        <v>20</v>
      </c>
      <c r="C20" s="16" t="n">
        <v>5</v>
      </c>
      <c r="D20" s="9" t="n">
        <f aca="false">B20*$B$4+C20*$C$4</f>
        <v>139750</v>
      </c>
      <c r="E20" s="9" t="n">
        <f aca="false">B20*($B$5+Параметры!$B$3)+C20*($C$5+Параметры!$B$3)</f>
        <v>103831.15</v>
      </c>
      <c r="F20" s="9" t="n">
        <f aca="false">$B$6*D20*Параметры!$B$6</f>
        <v>4541.875</v>
      </c>
      <c r="G20" s="9" t="n">
        <f aca="false">(1-$B$6)*D20*Параметры!$B$10</f>
        <v>489.125</v>
      </c>
      <c r="H20" s="9" t="n">
        <f aca="false">(B20+C20)*Параметры!$B$7</f>
        <v>4500</v>
      </c>
      <c r="I20" s="9" t="n">
        <f aca="false">(B20*$B$5+C20*$C$5)*Параметры!$B$8</f>
        <v>5129.0575</v>
      </c>
      <c r="J20" s="9" t="n">
        <f aca="false">(B20+C20)*(1-$B$6)*Параметры!$B$11</f>
        <v>0</v>
      </c>
      <c r="K20" s="9" t="n">
        <f aca="false">$B$9</f>
        <v>6783</v>
      </c>
      <c r="L20" s="11" t="n">
        <f aca="false">D20-SUM(E20:K20)</f>
        <v>14475.7925</v>
      </c>
      <c r="M20" s="9" t="n">
        <f aca="false">IF(B20+C20=0,"",L20/(B20+C20))</f>
        <v>579.031700000001</v>
      </c>
    </row>
    <row r="21" customFormat="false" ht="15" hidden="false" customHeight="false" outlineLevel="0" collapsed="false">
      <c r="A21" s="7" t="s">
        <v>178</v>
      </c>
      <c r="B21" s="16" t="n">
        <v>20</v>
      </c>
      <c r="C21" s="16" t="n">
        <v>10</v>
      </c>
      <c r="D21" s="9" t="n">
        <f aca="false">B21*$B$4+C21*$C$4</f>
        <v>189700</v>
      </c>
      <c r="E21" s="9" t="n">
        <f aca="false">B21*($B$5+Параметры!$B$3)+C21*($C$5+Параметры!$B$3)</f>
        <v>139362.3</v>
      </c>
      <c r="F21" s="9" t="n">
        <f aca="false">$B$6*D21*Параметры!$B$6</f>
        <v>6165.25</v>
      </c>
      <c r="G21" s="9" t="n">
        <f aca="false">(1-$B$6)*D21*Параметры!$B$10</f>
        <v>663.95</v>
      </c>
      <c r="H21" s="9" t="n">
        <f aca="false">(B21+C21)*Параметры!$B$7</f>
        <v>5400</v>
      </c>
      <c r="I21" s="9" t="n">
        <f aca="false">(B21*$B$5+C21*$C$5)*Параметры!$B$8</f>
        <v>6893.115</v>
      </c>
      <c r="J21" s="9" t="n">
        <f aca="false">(B21+C21)*(1-$B$6)*Параметры!$B$11</f>
        <v>0</v>
      </c>
      <c r="K21" s="9" t="n">
        <f aca="false">$B$9</f>
        <v>6783</v>
      </c>
      <c r="L21" s="11" t="n">
        <f aca="false">D21-SUM(E21:K21)</f>
        <v>24432.385</v>
      </c>
      <c r="M21" s="9" t="n">
        <f aca="false">IF(B21+C21=0,"",L21/(B21+C21))</f>
        <v>814.412833333334</v>
      </c>
    </row>
    <row r="22" customFormat="false" ht="15" hidden="false" customHeight="false" outlineLevel="0" collapsed="false">
      <c r="A22" s="7" t="s">
        <v>178</v>
      </c>
      <c r="B22" s="16" t="n">
        <v>30</v>
      </c>
      <c r="C22" s="16" t="n">
        <v>15</v>
      </c>
      <c r="D22" s="9" t="n">
        <f aca="false">B22*$B$4+C22*$C$4</f>
        <v>284550</v>
      </c>
      <c r="E22" s="9" t="n">
        <f aca="false">B22*($B$5+Параметры!$B$3)+C22*($C$5+Параметры!$B$3)</f>
        <v>209043.45</v>
      </c>
      <c r="F22" s="9" t="n">
        <f aca="false">$B$6*D22*Параметры!$B$6</f>
        <v>9247.875</v>
      </c>
      <c r="G22" s="9" t="n">
        <f aca="false">(1-$B$6)*D22*Параметры!$B$10</f>
        <v>995.925</v>
      </c>
      <c r="H22" s="9" t="n">
        <f aca="false">(B22+C22)*Параметры!$B$7</f>
        <v>8100</v>
      </c>
      <c r="I22" s="9" t="n">
        <f aca="false">(B22*$B$5+C22*$C$5)*Параметры!$B$8</f>
        <v>10339.6725</v>
      </c>
      <c r="J22" s="9" t="n">
        <f aca="false">(B22+C22)*(1-$B$6)*Параметры!$B$11</f>
        <v>0</v>
      </c>
      <c r="K22" s="9" t="n">
        <f aca="false">$B$9</f>
        <v>6783</v>
      </c>
      <c r="L22" s="11" t="n">
        <f aca="false">D22-SUM(E22:K22)</f>
        <v>40040.0775</v>
      </c>
      <c r="M22" s="9" t="n">
        <f aca="false">IF(B22+C22=0,"",L22/(B22+C22))</f>
        <v>889.7795</v>
      </c>
    </row>
    <row r="23" customFormat="false" ht="15" hidden="false" customHeight="false" outlineLevel="0" collapsed="false">
      <c r="A23" s="7" t="s">
        <v>178</v>
      </c>
      <c r="B23" s="16" t="n">
        <v>50</v>
      </c>
      <c r="C23" s="16" t="n">
        <v>20</v>
      </c>
      <c r="D23" s="9" t="n">
        <f aca="false">B23*$B$4+C23*$C$4</f>
        <v>424300</v>
      </c>
      <c r="E23" s="9" t="n">
        <f aca="false">B23*($B$5+Параметры!$B$3)+C23*($C$5+Параметры!$B$3)</f>
        <v>312874.6</v>
      </c>
      <c r="F23" s="9" t="n">
        <f aca="false">$B$6*D23*Параметры!$B$6</f>
        <v>13789.75</v>
      </c>
      <c r="G23" s="9" t="n">
        <f aca="false">(1-$B$6)*D23*Параметры!$B$10</f>
        <v>1485.05</v>
      </c>
      <c r="H23" s="9" t="n">
        <f aca="false">(B23+C23)*Параметры!$B$7</f>
        <v>12600</v>
      </c>
      <c r="I23" s="9" t="n">
        <f aca="false">(B23*$B$5+C23*$C$5)*Параметры!$B$8</f>
        <v>15468.73</v>
      </c>
      <c r="J23" s="9" t="n">
        <f aca="false">(B23+C23)*(1-$B$6)*Параметры!$B$11</f>
        <v>0</v>
      </c>
      <c r="K23" s="9" t="n">
        <f aca="false">$B$9</f>
        <v>6783</v>
      </c>
      <c r="L23" s="11" t="n">
        <f aca="false">D23-SUM(E23:K23)</f>
        <v>61298.87</v>
      </c>
      <c r="M23" s="9" t="n">
        <f aca="false">IF(B23+C23=0,"",L23/(B23+C23))</f>
        <v>875.698142857143</v>
      </c>
    </row>
    <row r="25" customFormat="false" ht="15" hidden="false" customHeight="false" outlineLevel="0" collapsed="false">
      <c r="A25" s="17" t="s">
        <v>179</v>
      </c>
    </row>
  </sheetData>
  <mergeCells count="6">
    <mergeCell ref="D3:L3"/>
    <mergeCell ref="D4:L4"/>
    <mergeCell ref="D5:L5"/>
    <mergeCell ref="D6:L6"/>
    <mergeCell ref="D9:L9"/>
    <mergeCell ref="D11:L11"/>
  </mergeCells>
  <conditionalFormatting sqref="L14:L23">
    <cfRule type="cellIs" priority="2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96"/>
  </cols>
  <sheetData>
    <row r="1" customFormat="false" ht="31.5" hidden="false" customHeight="true" outlineLevel="0" collapsed="false">
      <c r="A1" s="5" t="s">
        <v>180</v>
      </c>
      <c r="B1" s="5" t="s">
        <v>181</v>
      </c>
      <c r="C1" s="5" t="s">
        <v>182</v>
      </c>
    </row>
    <row r="2" customFormat="false" ht="15" hidden="false" customHeight="false" outlineLevel="0" collapsed="false">
      <c r="A2" s="7" t="s">
        <v>183</v>
      </c>
      <c r="B2" s="18" t="n">
        <v>0.3</v>
      </c>
      <c r="C2" s="8" t="s">
        <v>184</v>
      </c>
    </row>
    <row r="3" customFormat="false" ht="15" hidden="false" customHeight="false" outlineLevel="0" collapsed="false">
      <c r="A3" s="7" t="s">
        <v>185</v>
      </c>
      <c r="B3" s="12" t="n">
        <v>50</v>
      </c>
      <c r="C3" s="8" t="s">
        <v>186</v>
      </c>
    </row>
    <row r="4" customFormat="false" ht="15" hidden="false" customHeight="false" outlineLevel="0" collapsed="false">
      <c r="A4" s="7" t="s">
        <v>187</v>
      </c>
      <c r="B4" s="12" t="n">
        <v>100</v>
      </c>
      <c r="C4" s="8" t="s">
        <v>188</v>
      </c>
    </row>
    <row r="5" customFormat="false" ht="15" hidden="false" customHeight="false" outlineLevel="0" collapsed="false">
      <c r="A5" s="7" t="s">
        <v>189</v>
      </c>
      <c r="B5" s="12" t="n">
        <v>10</v>
      </c>
      <c r="C5" s="8" t="s">
        <v>190</v>
      </c>
    </row>
    <row r="6" customFormat="false" ht="15" hidden="false" customHeight="false" outlineLevel="0" collapsed="false">
      <c r="A6" s="7" t="s">
        <v>191</v>
      </c>
      <c r="B6" s="18" t="n">
        <v>0.065</v>
      </c>
      <c r="C6" s="8" t="s">
        <v>192</v>
      </c>
    </row>
    <row r="7" customFormat="false" ht="23.85" hidden="false" customHeight="false" outlineLevel="0" collapsed="false">
      <c r="A7" s="7" t="s">
        <v>193</v>
      </c>
      <c r="B7" s="12" t="n">
        <v>180</v>
      </c>
      <c r="C7" s="8" t="s">
        <v>194</v>
      </c>
    </row>
    <row r="8" customFormat="false" ht="15" hidden="false" customHeight="false" outlineLevel="0" collapsed="false">
      <c r="A8" s="7" t="s">
        <v>195</v>
      </c>
      <c r="B8" s="18" t="n">
        <v>0.05</v>
      </c>
      <c r="C8" s="8" t="s">
        <v>196</v>
      </c>
    </row>
    <row r="9" customFormat="false" ht="15" hidden="false" customHeight="false" outlineLevel="0" collapsed="false">
      <c r="A9" s="7" t="s">
        <v>197</v>
      </c>
      <c r="B9" s="19" t="n">
        <v>0</v>
      </c>
      <c r="C9" s="8" t="s">
        <v>198</v>
      </c>
    </row>
    <row r="10" customFormat="false" ht="23.85" hidden="false" customHeight="false" outlineLevel="0" collapsed="false">
      <c r="A10" s="7" t="s">
        <v>199</v>
      </c>
      <c r="B10" s="18" t="n">
        <v>0.007</v>
      </c>
      <c r="C10" s="8" t="s">
        <v>200</v>
      </c>
    </row>
    <row r="11" customFormat="false" ht="15" hidden="false" customHeight="false" outlineLevel="0" collapsed="false">
      <c r="A11" s="7" t="s">
        <v>201</v>
      </c>
      <c r="B11" s="12" t="n">
        <v>0</v>
      </c>
      <c r="C11" s="8" t="s">
        <v>202</v>
      </c>
    </row>
    <row r="12" customFormat="false" ht="15" hidden="false" customHeight="false" outlineLevel="0" collapsed="false">
      <c r="A12" s="7" t="s">
        <v>203</v>
      </c>
      <c r="B12" s="12" t="n">
        <v>4783</v>
      </c>
      <c r="C12" s="8" t="s">
        <v>204</v>
      </c>
    </row>
    <row r="13" customFormat="false" ht="15" hidden="false" customHeight="false" outlineLevel="0" collapsed="false">
      <c r="A13" s="7" t="s">
        <v>205</v>
      </c>
      <c r="B13" s="12" t="n">
        <v>1500</v>
      </c>
      <c r="C13" s="8" t="s">
        <v>206</v>
      </c>
    </row>
    <row r="14" customFormat="false" ht="15" hidden="false" customHeight="false" outlineLevel="0" collapsed="false">
      <c r="A14" s="7" t="s">
        <v>207</v>
      </c>
      <c r="B14" s="12" t="n">
        <v>0</v>
      </c>
      <c r="C14" s="8" t="s">
        <v>208</v>
      </c>
    </row>
    <row r="15" customFormat="false" ht="15" hidden="false" customHeight="false" outlineLevel="0" collapsed="false">
      <c r="A15" s="7" t="s">
        <v>209</v>
      </c>
      <c r="B15" s="12" t="n">
        <v>0</v>
      </c>
      <c r="C15" s="8" t="s">
        <v>210</v>
      </c>
    </row>
    <row r="16" customFormat="false" ht="15" hidden="false" customHeight="false" outlineLevel="0" collapsed="false">
      <c r="A16" s="7" t="s">
        <v>211</v>
      </c>
      <c r="B16" s="12" t="n">
        <v>500</v>
      </c>
      <c r="C16" s="8" t="s">
        <v>212</v>
      </c>
    </row>
    <row r="17" customFormat="false" ht="15" hidden="false" customHeight="false" outlineLevel="0" collapsed="false">
      <c r="A17" s="7" t="s">
        <v>213</v>
      </c>
      <c r="B17" s="19" t="n">
        <v>20</v>
      </c>
      <c r="C17" s="8" t="s">
        <v>214</v>
      </c>
    </row>
    <row r="18" customFormat="false" ht="15" hidden="false" customHeight="false" outlineLevel="0" collapsed="false">
      <c r="A18" s="6" t="s">
        <v>215</v>
      </c>
      <c r="B18" s="11" t="n">
        <f aca="false">($B$12+$B$13+$B$14+$B$15+$B$16)/MAX(1,$B$17)</f>
        <v>339.15</v>
      </c>
      <c r="C18" s="8" t="s">
        <v>216</v>
      </c>
    </row>
    <row r="20" customFormat="false" ht="15" hidden="false" customHeight="false" outlineLevel="0" collapsed="false">
      <c r="A20" s="17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14</v>
      </c>
      <c r="B1" s="5" t="s">
        <v>16</v>
      </c>
      <c r="C1" s="5" t="s">
        <v>218</v>
      </c>
      <c r="D1" s="5" t="s">
        <v>219</v>
      </c>
      <c r="E1" s="5" t="s">
        <v>220</v>
      </c>
      <c r="F1" s="5" t="s">
        <v>221</v>
      </c>
      <c r="G1" s="5" t="s">
        <v>222</v>
      </c>
      <c r="H1" s="5" t="s">
        <v>223</v>
      </c>
      <c r="I1" s="5" t="s">
        <v>224</v>
      </c>
      <c r="J1" s="5" t="s">
        <v>225</v>
      </c>
      <c r="K1" s="5" t="s">
        <v>226</v>
      </c>
      <c r="L1" s="5" t="s">
        <v>227</v>
      </c>
      <c r="M1" s="5" t="s">
        <v>228</v>
      </c>
      <c r="N1" s="5" t="s">
        <v>229</v>
      </c>
      <c r="O1" s="5" t="s">
        <v>230</v>
      </c>
      <c r="P1" s="5" t="s">
        <v>231</v>
      </c>
      <c r="Q1" s="5" t="s">
        <v>232</v>
      </c>
      <c r="R1" s="5" t="s">
        <v>233</v>
      </c>
      <c r="S1" s="5" t="s">
        <v>234</v>
      </c>
    </row>
    <row r="2" customFormat="false" ht="15" hidden="false" customHeight="false" outlineLevel="0" collapsed="false">
      <c r="A2" s="20" t="s">
        <v>235</v>
      </c>
      <c r="B2" s="20" t="s">
        <v>236</v>
      </c>
      <c r="C2" s="21" t="s">
        <v>237</v>
      </c>
      <c r="D2" s="22" t="n">
        <v>1</v>
      </c>
      <c r="E2" s="22" t="s">
        <v>238</v>
      </c>
      <c r="F2" s="22" t="s">
        <v>239</v>
      </c>
      <c r="G2" s="23" t="n">
        <v>460</v>
      </c>
      <c r="H2" s="23"/>
      <c r="I2" s="23" t="n">
        <v>445</v>
      </c>
      <c r="J2" s="23" t="n">
        <v>430</v>
      </c>
      <c r="K2" s="23"/>
      <c r="L2" s="23"/>
      <c r="M2" s="23"/>
      <c r="N2" s="23" t="n">
        <v>470</v>
      </c>
      <c r="O2" s="23"/>
      <c r="P2" s="24" t="n">
        <f aca="false">IF(COUNT(G2:O2)=0,"",MIN(G2:O2))</f>
        <v>430</v>
      </c>
      <c r="Q2" s="21" t="str">
        <f aca="false">IF(P2="","",INDEX($G$1:$O$1,MATCH(P2,G2:O2,0)))</f>
        <v>Росско</v>
      </c>
      <c r="R2" s="24" t="n">
        <f aca="false">IF(P2="",0,P2*D2)</f>
        <v>430</v>
      </c>
      <c r="S2" s="25" t="s">
        <v>240</v>
      </c>
    </row>
    <row r="3" customFormat="false" ht="15" hidden="false" customHeight="false" outlineLevel="0" collapsed="false">
      <c r="A3" s="6" t="s">
        <v>39</v>
      </c>
      <c r="B3" s="7" t="str">
        <f aca="false">IFERROR(INDEX(Киты!$C:$C,MATCH(A3,Киты!$A:$A,0)),"")</f>
        <v>Hyundai Solaris 2010–2017</v>
      </c>
      <c r="C3" s="7" t="s">
        <v>241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242</v>
      </c>
    </row>
    <row r="4" customFormat="false" ht="15" hidden="false" customHeight="false" outlineLevel="0" collapsed="false">
      <c r="A4" s="6" t="s">
        <v>39</v>
      </c>
      <c r="B4" s="7" t="str">
        <f aca="false">IFERROR(INDEX(Киты!$C:$C,MATCH(A4,Киты!$A:$A,0)),"")</f>
        <v>Hyundai Solaris 2010–2017</v>
      </c>
      <c r="C4" s="7" t="s">
        <v>237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39</v>
      </c>
      <c r="B5" s="7" t="str">
        <f aca="false">IFERROR(INDEX(Киты!$C:$C,MATCH(A5,Киты!$A:$A,0)),"")</f>
        <v>Hyundai Solaris 2010–2017</v>
      </c>
      <c r="C5" s="7" t="s">
        <v>243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39</v>
      </c>
      <c r="B6" s="7" t="str">
        <f aca="false">IFERROR(INDEX(Киты!$C:$C,MATCH(A6,Киты!$A:$A,0)),"")</f>
        <v>Hyundai Solaris 2010–2017</v>
      </c>
      <c r="C6" s="7" t="s">
        <v>244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39</v>
      </c>
      <c r="B7" s="7" t="str">
        <f aca="false">IFERROR(INDEX(Киты!$C:$C,MATCH(A7,Киты!$A:$A,0)),"")</f>
        <v>Hyundai Solaris 2010–2017</v>
      </c>
      <c r="C7" s="7" t="s">
        <v>245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48</v>
      </c>
      <c r="B8" s="7" t="str">
        <f aca="false">IFERROR(INDEX(Киты!$C:$C,MATCH(A8,Киты!$A:$A,0)),"")</f>
        <v>Hyundai Solaris 2017–2022</v>
      </c>
      <c r="C8" s="7" t="s">
        <v>241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242</v>
      </c>
    </row>
    <row r="9" customFormat="false" ht="15" hidden="false" customHeight="false" outlineLevel="0" collapsed="false">
      <c r="A9" s="6" t="s">
        <v>48</v>
      </c>
      <c r="B9" s="7" t="str">
        <f aca="false">IFERROR(INDEX(Киты!$C:$C,MATCH(A9,Киты!$A:$A,0)),"")</f>
        <v>Hyundai Solaris 2017–2022</v>
      </c>
      <c r="C9" s="7" t="s">
        <v>237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48</v>
      </c>
      <c r="B10" s="7" t="str">
        <f aca="false">IFERROR(INDEX(Киты!$C:$C,MATCH(A10,Киты!$A:$A,0)),"")</f>
        <v>Hyundai Solaris 2017–2022</v>
      </c>
      <c r="C10" s="7" t="s">
        <v>243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48</v>
      </c>
      <c r="B11" s="7" t="str">
        <f aca="false">IFERROR(INDEX(Киты!$C:$C,MATCH(A11,Киты!$A:$A,0)),"")</f>
        <v>Hyundai Solaris 2017–2022</v>
      </c>
      <c r="C11" s="7" t="s">
        <v>244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48</v>
      </c>
      <c r="B12" s="7" t="str">
        <f aca="false">IFERROR(INDEX(Киты!$C:$C,MATCH(A12,Киты!$A:$A,0)),"")</f>
        <v>Hyundai Solaris 2017–2022</v>
      </c>
      <c r="C12" s="7" t="s">
        <v>245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53</v>
      </c>
      <c r="B13" s="7" t="str">
        <f aca="false">IFERROR(INDEX(Киты!$C:$C,MATCH(A13,Киты!$A:$A,0)),"")</f>
        <v>Kia Rio 2011–2017</v>
      </c>
      <c r="C13" s="7" t="s">
        <v>241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242</v>
      </c>
    </row>
    <row r="14" customFormat="false" ht="15" hidden="false" customHeight="false" outlineLevel="0" collapsed="false">
      <c r="A14" s="6" t="s">
        <v>53</v>
      </c>
      <c r="B14" s="7" t="str">
        <f aca="false">IFERROR(INDEX(Киты!$C:$C,MATCH(A14,Киты!$A:$A,0)),"")</f>
        <v>Kia Rio 2011–2017</v>
      </c>
      <c r="C14" s="7" t="s">
        <v>237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53</v>
      </c>
      <c r="B15" s="7" t="str">
        <f aca="false">IFERROR(INDEX(Киты!$C:$C,MATCH(A15,Киты!$A:$A,0)),"")</f>
        <v>Kia Rio 2011–2017</v>
      </c>
      <c r="C15" s="7" t="s">
        <v>243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53</v>
      </c>
      <c r="B16" s="7" t="str">
        <f aca="false">IFERROR(INDEX(Киты!$C:$C,MATCH(A16,Киты!$A:$A,0)),"")</f>
        <v>Kia Rio 2011–2017</v>
      </c>
      <c r="C16" s="7" t="s">
        <v>244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53</v>
      </c>
      <c r="B17" s="7" t="str">
        <f aca="false">IFERROR(INDEX(Киты!$C:$C,MATCH(A17,Киты!$A:$A,0)),"")</f>
        <v>Kia Rio 2011–2017</v>
      </c>
      <c r="C17" s="7" t="s">
        <v>245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57</v>
      </c>
      <c r="B18" s="7" t="str">
        <f aca="false">IFERROR(INDEX(Киты!$C:$C,MATCH(A18,Киты!$A:$A,0)),"")</f>
        <v>Kia Rio 2017–2021</v>
      </c>
      <c r="C18" s="7" t="s">
        <v>241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242</v>
      </c>
    </row>
    <row r="19" customFormat="false" ht="15" hidden="false" customHeight="false" outlineLevel="0" collapsed="false">
      <c r="A19" s="6" t="s">
        <v>57</v>
      </c>
      <c r="B19" s="7" t="str">
        <f aca="false">IFERROR(INDEX(Киты!$C:$C,MATCH(A19,Киты!$A:$A,0)),"")</f>
        <v>Kia Rio 2017–2021</v>
      </c>
      <c r="C19" s="7" t="s">
        <v>237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57</v>
      </c>
      <c r="B20" s="7" t="str">
        <f aca="false">IFERROR(INDEX(Киты!$C:$C,MATCH(A20,Киты!$A:$A,0)),"")</f>
        <v>Kia Rio 2017–2021</v>
      </c>
      <c r="C20" s="7" t="s">
        <v>243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57</v>
      </c>
      <c r="B21" s="7" t="str">
        <f aca="false">IFERROR(INDEX(Киты!$C:$C,MATCH(A21,Киты!$A:$A,0)),"")</f>
        <v>Kia Rio 2017–2021</v>
      </c>
      <c r="C21" s="7" t="s">
        <v>244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57</v>
      </c>
      <c r="B22" s="7" t="str">
        <f aca="false">IFERROR(INDEX(Киты!$C:$C,MATCH(A22,Киты!$A:$A,0)),"")</f>
        <v>Kia Rio 2017–2021</v>
      </c>
      <c r="C22" s="7" t="s">
        <v>245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61</v>
      </c>
      <c r="B23" s="7" t="str">
        <f aca="false">IFERROR(INDEX(Киты!$C:$C,MATCH(A23,Киты!$A:$A,0)),"")</f>
        <v>VW Polo 1.6 CFNA</v>
      </c>
      <c r="C23" s="7" t="s">
        <v>241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242</v>
      </c>
    </row>
    <row r="24" customFormat="false" ht="15" hidden="false" customHeight="false" outlineLevel="0" collapsed="false">
      <c r="A24" s="6" t="s">
        <v>61</v>
      </c>
      <c r="B24" s="7" t="str">
        <f aca="false">IFERROR(INDEX(Киты!$C:$C,MATCH(A24,Киты!$A:$A,0)),"")</f>
        <v>VW Polo 1.6 CFNA</v>
      </c>
      <c r="C24" s="7" t="s">
        <v>237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61</v>
      </c>
      <c r="B25" s="7" t="str">
        <f aca="false">IFERROR(INDEX(Киты!$C:$C,MATCH(A25,Киты!$A:$A,0)),"")</f>
        <v>VW Polo 1.6 CFNA</v>
      </c>
      <c r="C25" s="7" t="s">
        <v>243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61</v>
      </c>
      <c r="B26" s="7" t="str">
        <f aca="false">IFERROR(INDEX(Киты!$C:$C,MATCH(A26,Киты!$A:$A,0)),"")</f>
        <v>VW Polo 1.6 CFNA</v>
      </c>
      <c r="C26" s="7" t="s">
        <v>244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61</v>
      </c>
      <c r="B27" s="7" t="str">
        <f aca="false">IFERROR(INDEX(Киты!$C:$C,MATCH(A27,Киты!$A:$A,0)),"")</f>
        <v>VW Polo 1.6 CFNA</v>
      </c>
      <c r="C27" s="7" t="s">
        <v>245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66</v>
      </c>
      <c r="B28" s="7" t="str">
        <f aca="false">IFERROR(INDEX(Киты!$C:$C,MATCH(A28,Киты!$A:$A,0)),"")</f>
        <v>VW Polo 1.6 CWVA</v>
      </c>
      <c r="C28" s="7" t="s">
        <v>241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242</v>
      </c>
    </row>
    <row r="29" customFormat="false" ht="15" hidden="false" customHeight="false" outlineLevel="0" collapsed="false">
      <c r="A29" s="6" t="s">
        <v>66</v>
      </c>
      <c r="B29" s="7" t="str">
        <f aca="false">IFERROR(INDEX(Киты!$C:$C,MATCH(A29,Киты!$A:$A,0)),"")</f>
        <v>VW Polo 1.6 CWVA</v>
      </c>
      <c r="C29" s="7" t="s">
        <v>237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66</v>
      </c>
      <c r="B30" s="7" t="str">
        <f aca="false">IFERROR(INDEX(Киты!$C:$C,MATCH(A30,Киты!$A:$A,0)),"")</f>
        <v>VW Polo 1.6 CWVA</v>
      </c>
      <c r="C30" s="7" t="s">
        <v>243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66</v>
      </c>
      <c r="B31" s="7" t="str">
        <f aca="false">IFERROR(INDEX(Киты!$C:$C,MATCH(A31,Киты!$A:$A,0)),"")</f>
        <v>VW Polo 1.6 CWVA</v>
      </c>
      <c r="C31" s="7" t="s">
        <v>244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66</v>
      </c>
      <c r="B32" s="7" t="str">
        <f aca="false">IFERROR(INDEX(Киты!$C:$C,MATCH(A32,Киты!$A:$A,0)),"")</f>
        <v>VW Polo 1.6 CWVA</v>
      </c>
      <c r="C32" s="7" t="s">
        <v>245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72</v>
      </c>
      <c r="B33" s="7" t="str">
        <f aca="false">IFERROR(INDEX(Киты!$C:$C,MATCH(A33,Киты!$A:$A,0)),"")</f>
        <v>Haval Jolion 1.5T</v>
      </c>
      <c r="C33" s="7" t="s">
        <v>241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242</v>
      </c>
    </row>
    <row r="34" customFormat="false" ht="15" hidden="false" customHeight="false" outlineLevel="0" collapsed="false">
      <c r="A34" s="6" t="s">
        <v>72</v>
      </c>
      <c r="B34" s="7" t="str">
        <f aca="false">IFERROR(INDEX(Киты!$C:$C,MATCH(A34,Киты!$A:$A,0)),"")</f>
        <v>Haval Jolion 1.5T</v>
      </c>
      <c r="C34" s="7" t="s">
        <v>246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247</v>
      </c>
    </row>
    <row r="35" customFormat="false" ht="15" hidden="false" customHeight="false" outlineLevel="0" collapsed="false">
      <c r="A35" s="6" t="s">
        <v>72</v>
      </c>
      <c r="B35" s="7" t="str">
        <f aca="false">IFERROR(INDEX(Киты!$C:$C,MATCH(A35,Киты!$A:$A,0)),"")</f>
        <v>Haval Jolion 1.5T</v>
      </c>
      <c r="C35" s="7" t="s">
        <v>237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72</v>
      </c>
      <c r="B36" s="7" t="str">
        <f aca="false">IFERROR(INDEX(Киты!$C:$C,MATCH(A36,Киты!$A:$A,0)),"")</f>
        <v>Haval Jolion 1.5T</v>
      </c>
      <c r="C36" s="7" t="s">
        <v>243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72</v>
      </c>
      <c r="B37" s="7" t="str">
        <f aca="false">IFERROR(INDEX(Киты!$C:$C,MATCH(A37,Киты!$A:$A,0)),"")</f>
        <v>Haval Jolion 1.5T</v>
      </c>
      <c r="C37" s="7" t="s">
        <v>244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72</v>
      </c>
      <c r="B38" s="7" t="str">
        <f aca="false">IFERROR(INDEX(Киты!$C:$C,MATCH(A38,Киты!$A:$A,0)),"")</f>
        <v>Haval Jolion 1.5T</v>
      </c>
      <c r="C38" s="7" t="s">
        <v>245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77</v>
      </c>
      <c r="B39" s="7" t="str">
        <f aca="false">IFERROR(INDEX(Киты!$C:$C,MATCH(A39,Киты!$A:$A,0)),"")</f>
        <v>Haval F7 / F7x 1.5T</v>
      </c>
      <c r="C39" s="7" t="s">
        <v>241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242</v>
      </c>
    </row>
    <row r="40" customFormat="false" ht="15" hidden="false" customHeight="false" outlineLevel="0" collapsed="false">
      <c r="A40" s="6" t="s">
        <v>77</v>
      </c>
      <c r="B40" s="7" t="str">
        <f aca="false">IFERROR(INDEX(Киты!$C:$C,MATCH(A40,Киты!$A:$A,0)),"")</f>
        <v>Haval F7 / F7x 1.5T</v>
      </c>
      <c r="C40" s="7" t="s">
        <v>246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247</v>
      </c>
    </row>
    <row r="41" customFormat="false" ht="15" hidden="false" customHeight="false" outlineLevel="0" collapsed="false">
      <c r="A41" s="6" t="s">
        <v>77</v>
      </c>
      <c r="B41" s="7" t="str">
        <f aca="false">IFERROR(INDEX(Киты!$C:$C,MATCH(A41,Киты!$A:$A,0)),"")</f>
        <v>Haval F7 / F7x 1.5T</v>
      </c>
      <c r="C41" s="7" t="s">
        <v>237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77</v>
      </c>
      <c r="B42" s="7" t="str">
        <f aca="false">IFERROR(INDEX(Киты!$C:$C,MATCH(A42,Киты!$A:$A,0)),"")</f>
        <v>Haval F7 / F7x 1.5T</v>
      </c>
      <c r="C42" s="7" t="s">
        <v>243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77</v>
      </c>
      <c r="B43" s="7" t="str">
        <f aca="false">IFERROR(INDEX(Киты!$C:$C,MATCH(A43,Киты!$A:$A,0)),"")</f>
        <v>Haval F7 / F7x 1.5T</v>
      </c>
      <c r="C43" s="7" t="s">
        <v>244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77</v>
      </c>
      <c r="B44" s="7" t="str">
        <f aca="false">IFERROR(INDEX(Киты!$C:$C,MATCH(A44,Киты!$A:$A,0)),"")</f>
        <v>Haval F7 / F7x 1.5T</v>
      </c>
      <c r="C44" s="7" t="s">
        <v>245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82</v>
      </c>
      <c r="B45" s="7" t="str">
        <f aca="false">IFERROR(INDEX(Киты!$C:$C,MATCH(A45,Киты!$A:$A,0)),"")</f>
        <v>Haval F7 / F7x 2.0T</v>
      </c>
      <c r="C45" s="7" t="s">
        <v>241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242</v>
      </c>
    </row>
    <row r="46" customFormat="false" ht="15" hidden="false" customHeight="false" outlineLevel="0" collapsed="false">
      <c r="A46" s="6" t="s">
        <v>82</v>
      </c>
      <c r="B46" s="7" t="str">
        <f aca="false">IFERROR(INDEX(Киты!$C:$C,MATCH(A46,Киты!$A:$A,0)),"")</f>
        <v>Haval F7 / F7x 2.0T</v>
      </c>
      <c r="C46" s="7" t="s">
        <v>246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247</v>
      </c>
    </row>
    <row r="47" customFormat="false" ht="15" hidden="false" customHeight="false" outlineLevel="0" collapsed="false">
      <c r="A47" s="6" t="s">
        <v>82</v>
      </c>
      <c r="B47" s="7" t="str">
        <f aca="false">IFERROR(INDEX(Киты!$C:$C,MATCH(A47,Киты!$A:$A,0)),"")</f>
        <v>Haval F7 / F7x 2.0T</v>
      </c>
      <c r="C47" s="7" t="s">
        <v>237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82</v>
      </c>
      <c r="B48" s="7" t="str">
        <f aca="false">IFERROR(INDEX(Киты!$C:$C,MATCH(A48,Киты!$A:$A,0)),"")</f>
        <v>Haval F7 / F7x 2.0T</v>
      </c>
      <c r="C48" s="7" t="s">
        <v>243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82</v>
      </c>
      <c r="B49" s="7" t="str">
        <f aca="false">IFERROR(INDEX(Киты!$C:$C,MATCH(A49,Киты!$A:$A,0)),"")</f>
        <v>Haval F7 / F7x 2.0T</v>
      </c>
      <c r="C49" s="7" t="s">
        <v>244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82</v>
      </c>
      <c r="B50" s="7" t="str">
        <f aca="false">IFERROR(INDEX(Киты!$C:$C,MATCH(A50,Киты!$A:$A,0)),"")</f>
        <v>Haval F7 / F7x 2.0T</v>
      </c>
      <c r="C50" s="7" t="s">
        <v>245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87</v>
      </c>
      <c r="B51" s="7" t="str">
        <f aca="false">IFERROR(INDEX(Киты!$C:$C,MATCH(A51,Киты!$A:$A,0)),"")</f>
        <v>Chery Tiggo 7 Pro 1.5T</v>
      </c>
      <c r="C51" s="7" t="s">
        <v>241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242</v>
      </c>
    </row>
    <row r="52" customFormat="false" ht="15" hidden="false" customHeight="false" outlineLevel="0" collapsed="false">
      <c r="A52" s="6" t="s">
        <v>87</v>
      </c>
      <c r="B52" s="7" t="str">
        <f aca="false">IFERROR(INDEX(Киты!$C:$C,MATCH(A52,Киты!$A:$A,0)),"")</f>
        <v>Chery Tiggo 7 Pro 1.5T</v>
      </c>
      <c r="C52" s="7" t="s">
        <v>246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247</v>
      </c>
    </row>
    <row r="53" customFormat="false" ht="15" hidden="false" customHeight="false" outlineLevel="0" collapsed="false">
      <c r="A53" s="6" t="s">
        <v>87</v>
      </c>
      <c r="B53" s="7" t="str">
        <f aca="false">IFERROR(INDEX(Киты!$C:$C,MATCH(A53,Киты!$A:$A,0)),"")</f>
        <v>Chery Tiggo 7 Pro 1.5T</v>
      </c>
      <c r="C53" s="7" t="s">
        <v>237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87</v>
      </c>
      <c r="B54" s="7" t="str">
        <f aca="false">IFERROR(INDEX(Киты!$C:$C,MATCH(A54,Киты!$A:$A,0)),"")</f>
        <v>Chery Tiggo 7 Pro 1.5T</v>
      </c>
      <c r="C54" s="7" t="s">
        <v>243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87</v>
      </c>
      <c r="B55" s="7" t="str">
        <f aca="false">IFERROR(INDEX(Киты!$C:$C,MATCH(A55,Киты!$A:$A,0)),"")</f>
        <v>Chery Tiggo 7 Pro 1.5T</v>
      </c>
      <c r="C55" s="7" t="s">
        <v>244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87</v>
      </c>
      <c r="B56" s="7" t="str">
        <f aca="false">IFERROR(INDEX(Киты!$C:$C,MATCH(A56,Киты!$A:$A,0)),"")</f>
        <v>Chery Tiggo 7 Pro 1.5T</v>
      </c>
      <c r="C56" s="7" t="s">
        <v>245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92</v>
      </c>
      <c r="B57" s="7" t="str">
        <f aca="false">IFERROR(INDEX(Киты!$C:$C,MATCH(A57,Киты!$A:$A,0)),"")</f>
        <v>Chery Tiggo 4 Pro 1.5T</v>
      </c>
      <c r="C57" s="7" t="s">
        <v>241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242</v>
      </c>
    </row>
    <row r="58" customFormat="false" ht="15" hidden="false" customHeight="false" outlineLevel="0" collapsed="false">
      <c r="A58" s="6" t="s">
        <v>92</v>
      </c>
      <c r="B58" s="7" t="str">
        <f aca="false">IFERROR(INDEX(Киты!$C:$C,MATCH(A58,Киты!$A:$A,0)),"")</f>
        <v>Chery Tiggo 4 Pro 1.5T</v>
      </c>
      <c r="C58" s="7" t="s">
        <v>246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247</v>
      </c>
    </row>
    <row r="59" customFormat="false" ht="15" hidden="false" customHeight="false" outlineLevel="0" collapsed="false">
      <c r="A59" s="6" t="s">
        <v>92</v>
      </c>
      <c r="B59" s="7" t="str">
        <f aca="false">IFERROR(INDEX(Киты!$C:$C,MATCH(A59,Киты!$A:$A,0)),"")</f>
        <v>Chery Tiggo 4 Pro 1.5T</v>
      </c>
      <c r="C59" s="7" t="s">
        <v>237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92</v>
      </c>
      <c r="B60" s="7" t="str">
        <f aca="false">IFERROR(INDEX(Киты!$C:$C,MATCH(A60,Киты!$A:$A,0)),"")</f>
        <v>Chery Tiggo 4 Pro 1.5T</v>
      </c>
      <c r="C60" s="7" t="s">
        <v>243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92</v>
      </c>
      <c r="B61" s="7" t="str">
        <f aca="false">IFERROR(INDEX(Киты!$C:$C,MATCH(A61,Киты!$A:$A,0)),"")</f>
        <v>Chery Tiggo 4 Pro 1.5T</v>
      </c>
      <c r="C61" s="7" t="s">
        <v>244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92</v>
      </c>
      <c r="B62" s="7" t="str">
        <f aca="false">IFERROR(INDEX(Киты!$C:$C,MATCH(A62,Киты!$A:$A,0)),"")</f>
        <v>Chery Tiggo 4 Pro 1.5T</v>
      </c>
      <c r="C62" s="7" t="s">
        <v>245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96</v>
      </c>
      <c r="B63" s="7" t="str">
        <f aca="false">IFERROR(INDEX(Киты!$C:$C,MATCH(A63,Киты!$A:$A,0)),"")</f>
        <v>Geely Coolray 1.5T</v>
      </c>
      <c r="C63" s="7" t="s">
        <v>241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242</v>
      </c>
    </row>
    <row r="64" customFormat="false" ht="15" hidden="false" customHeight="false" outlineLevel="0" collapsed="false">
      <c r="A64" s="6" t="s">
        <v>96</v>
      </c>
      <c r="B64" s="7" t="str">
        <f aca="false">IFERROR(INDEX(Киты!$C:$C,MATCH(A64,Киты!$A:$A,0)),"")</f>
        <v>Geely Coolray 1.5T</v>
      </c>
      <c r="C64" s="7" t="s">
        <v>246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247</v>
      </c>
    </row>
    <row r="65" customFormat="false" ht="15" hidden="false" customHeight="false" outlineLevel="0" collapsed="false">
      <c r="A65" s="6" t="s">
        <v>96</v>
      </c>
      <c r="B65" s="7" t="str">
        <f aca="false">IFERROR(INDEX(Киты!$C:$C,MATCH(A65,Киты!$A:$A,0)),"")</f>
        <v>Geely Coolray 1.5T</v>
      </c>
      <c r="C65" s="7" t="s">
        <v>237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96</v>
      </c>
      <c r="B66" s="7" t="str">
        <f aca="false">IFERROR(INDEX(Киты!$C:$C,MATCH(A66,Киты!$A:$A,0)),"")</f>
        <v>Geely Coolray 1.5T</v>
      </c>
      <c r="C66" s="7" t="s">
        <v>243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96</v>
      </c>
      <c r="B67" s="7" t="str">
        <f aca="false">IFERROR(INDEX(Киты!$C:$C,MATCH(A67,Киты!$A:$A,0)),"")</f>
        <v>Geely Coolray 1.5T</v>
      </c>
      <c r="C67" s="7" t="s">
        <v>244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96</v>
      </c>
      <c r="B68" s="7" t="str">
        <f aca="false">IFERROR(INDEX(Киты!$C:$C,MATCH(A68,Киты!$A:$A,0)),"")</f>
        <v>Geely Coolray 1.5T</v>
      </c>
      <c r="C68" s="7" t="s">
        <v>245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102</v>
      </c>
      <c r="B69" s="7" t="str">
        <f aca="false">IFERROR(INDEX(Киты!$C:$C,MATCH(A69,Киты!$A:$A,0)),"")</f>
        <v>Kia Picanto 1.0 / 1.2</v>
      </c>
      <c r="C69" s="7" t="s">
        <v>241</v>
      </c>
      <c r="D69" s="14" t="n">
        <v>1</v>
      </c>
      <c r="E69" s="14" t="s">
        <v>248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249</v>
      </c>
    </row>
    <row r="70" customFormat="false" ht="15" hidden="false" customHeight="false" outlineLevel="0" collapsed="false">
      <c r="A70" s="6" t="s">
        <v>102</v>
      </c>
      <c r="B70" s="7" t="str">
        <f aca="false">IFERROR(INDEX(Киты!$C:$C,MATCH(A70,Киты!$A:$A,0)),"")</f>
        <v>Kia Picanto 1.0 / 1.2</v>
      </c>
      <c r="C70" s="7" t="s">
        <v>237</v>
      </c>
      <c r="D70" s="14" t="n">
        <v>1</v>
      </c>
      <c r="E70" s="14" t="s">
        <v>250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251</v>
      </c>
    </row>
    <row r="71" customFormat="false" ht="15" hidden="false" customHeight="false" outlineLevel="0" collapsed="false">
      <c r="A71" s="6" t="s">
        <v>102</v>
      </c>
      <c r="B71" s="7" t="str">
        <f aca="false">IFERROR(INDEX(Киты!$C:$C,MATCH(A71,Киты!$A:$A,0)),"")</f>
        <v>Kia Picanto 1.0 / 1.2</v>
      </c>
      <c r="C71" s="7" t="s">
        <v>243</v>
      </c>
      <c r="D71" s="14" t="n">
        <v>1</v>
      </c>
      <c r="E71" s="14" t="s">
        <v>250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252</v>
      </c>
    </row>
    <row r="72" customFormat="false" ht="15" hidden="false" customHeight="false" outlineLevel="0" collapsed="false">
      <c r="A72" s="6" t="s">
        <v>102</v>
      </c>
      <c r="B72" s="7" t="str">
        <f aca="false">IFERROR(INDEX(Киты!$C:$C,MATCH(A72,Киты!$A:$A,0)),"")</f>
        <v>Kia Picanto 1.0 / 1.2</v>
      </c>
      <c r="C72" s="7" t="s">
        <v>244</v>
      </c>
      <c r="D72" s="14" t="n">
        <v>1</v>
      </c>
      <c r="E72" s="14" t="s">
        <v>253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254</v>
      </c>
    </row>
    <row r="73" customFormat="false" ht="15" hidden="false" customHeight="false" outlineLevel="0" collapsed="false">
      <c r="A73" s="6" t="s">
        <v>107</v>
      </c>
      <c r="B73" s="7" t="str">
        <f aca="false">IFERROR(INDEX(Киты!$C:$C,MATCH(A73,Киты!$A:$A,0)),"")</f>
        <v>VW Jetta</v>
      </c>
      <c r="C73" s="7" t="s">
        <v>241</v>
      </c>
      <c r="D73" s="14" t="n">
        <v>1</v>
      </c>
      <c r="E73" s="14" t="s">
        <v>255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256</v>
      </c>
    </row>
    <row r="74" customFormat="false" ht="15" hidden="false" customHeight="false" outlineLevel="0" collapsed="false">
      <c r="A74" s="6" t="s">
        <v>107</v>
      </c>
      <c r="B74" s="7" t="str">
        <f aca="false">IFERROR(INDEX(Киты!$C:$C,MATCH(A74,Киты!$A:$A,0)),"")</f>
        <v>VW Jetta</v>
      </c>
      <c r="C74" s="7" t="s">
        <v>237</v>
      </c>
      <c r="D74" s="14" t="n">
        <v>1</v>
      </c>
      <c r="E74" s="14" t="s">
        <v>250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257</v>
      </c>
    </row>
    <row r="75" customFormat="false" ht="15" hidden="false" customHeight="false" outlineLevel="0" collapsed="false">
      <c r="A75" s="6" t="s">
        <v>107</v>
      </c>
      <c r="B75" s="7" t="str">
        <f aca="false">IFERROR(INDEX(Киты!$C:$C,MATCH(A75,Киты!$A:$A,0)),"")</f>
        <v>VW Jetta</v>
      </c>
      <c r="C75" s="7" t="s">
        <v>243</v>
      </c>
      <c r="D75" s="14" t="n">
        <v>1</v>
      </c>
      <c r="E75" s="14" t="s">
        <v>258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259</v>
      </c>
    </row>
    <row r="76" customFormat="false" ht="15" hidden="false" customHeight="false" outlineLevel="0" collapsed="false">
      <c r="A76" s="6" t="s">
        <v>107</v>
      </c>
      <c r="B76" s="7" t="str">
        <f aca="false">IFERROR(INDEX(Киты!$C:$C,MATCH(A76,Киты!$A:$A,0)),"")</f>
        <v>VW Jetta</v>
      </c>
      <c r="C76" s="7" t="s">
        <v>244</v>
      </c>
      <c r="D76" s="14" t="n">
        <v>1</v>
      </c>
      <c r="E76" s="14" t="s">
        <v>258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260</v>
      </c>
    </row>
    <row r="77" customFormat="false" ht="15" hidden="false" customHeight="false" outlineLevel="0" collapsed="false">
      <c r="A77" s="6" t="s">
        <v>113</v>
      </c>
      <c r="B77" s="7" t="str">
        <f aca="false">IFERROR(INDEX(Киты!$C:$C,MATCH(A77,Киты!$A:$A,0)),"")</f>
        <v>Hyundai Solaris 2010–2017</v>
      </c>
      <c r="C77" s="7" t="s">
        <v>261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262</v>
      </c>
    </row>
    <row r="78" customFormat="false" ht="15" hidden="false" customHeight="false" outlineLevel="0" collapsed="false">
      <c r="A78" s="6" t="s">
        <v>113</v>
      </c>
      <c r="B78" s="7" t="str">
        <f aca="false">IFERROR(INDEX(Киты!$C:$C,MATCH(A78,Киты!$A:$A,0)),"")</f>
        <v>Hyundai Solaris 2010–2017</v>
      </c>
      <c r="C78" s="7" t="s">
        <v>263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113</v>
      </c>
      <c r="B79" s="7" t="str">
        <f aca="false">IFERROR(INDEX(Киты!$C:$C,MATCH(A79,Киты!$A:$A,0)),"")</f>
        <v>Hyundai Solaris 2010–2017</v>
      </c>
      <c r="C79" s="7" t="s">
        <v>264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113</v>
      </c>
      <c r="B80" s="7" t="str">
        <f aca="false">IFERROR(INDEX(Киты!$C:$C,MATCH(A80,Киты!$A:$A,0)),"")</f>
        <v>Hyundai Solaris 2010–2017</v>
      </c>
      <c r="C80" s="7" t="s">
        <v>265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266</v>
      </c>
    </row>
    <row r="81" customFormat="false" ht="15" hidden="false" customHeight="false" outlineLevel="0" collapsed="false">
      <c r="A81" s="6" t="s">
        <v>113</v>
      </c>
      <c r="B81" s="7" t="str">
        <f aca="false">IFERROR(INDEX(Киты!$C:$C,MATCH(A81,Киты!$A:$A,0)),"")</f>
        <v>Hyundai Solaris 2010–2017</v>
      </c>
      <c r="C81" s="7" t="s">
        <v>267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268</v>
      </c>
    </row>
    <row r="82" customFormat="false" ht="15" hidden="false" customHeight="false" outlineLevel="0" collapsed="false">
      <c r="A82" s="6" t="s">
        <v>117</v>
      </c>
      <c r="B82" s="7" t="str">
        <f aca="false">IFERROR(INDEX(Киты!$C:$C,MATCH(A82,Киты!$A:$A,0)),"")</f>
        <v>Hyundai Solaris 2017–2022</v>
      </c>
      <c r="C82" s="7" t="s">
        <v>261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262</v>
      </c>
    </row>
    <row r="83" customFormat="false" ht="15" hidden="false" customHeight="false" outlineLevel="0" collapsed="false">
      <c r="A83" s="6" t="s">
        <v>117</v>
      </c>
      <c r="B83" s="7" t="str">
        <f aca="false">IFERROR(INDEX(Киты!$C:$C,MATCH(A83,Киты!$A:$A,0)),"")</f>
        <v>Hyundai Solaris 2017–2022</v>
      </c>
      <c r="C83" s="7" t="s">
        <v>263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117</v>
      </c>
      <c r="B84" s="7" t="str">
        <f aca="false">IFERROR(INDEX(Киты!$C:$C,MATCH(A84,Киты!$A:$A,0)),"")</f>
        <v>Hyundai Solaris 2017–2022</v>
      </c>
      <c r="C84" s="7" t="s">
        <v>264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117</v>
      </c>
      <c r="B85" s="7" t="str">
        <f aca="false">IFERROR(INDEX(Киты!$C:$C,MATCH(A85,Киты!$A:$A,0)),"")</f>
        <v>Hyundai Solaris 2017–2022</v>
      </c>
      <c r="C85" s="7" t="s">
        <v>265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266</v>
      </c>
    </row>
    <row r="86" customFormat="false" ht="15" hidden="false" customHeight="false" outlineLevel="0" collapsed="false">
      <c r="A86" s="6" t="s">
        <v>117</v>
      </c>
      <c r="B86" s="7" t="str">
        <f aca="false">IFERROR(INDEX(Киты!$C:$C,MATCH(A86,Киты!$A:$A,0)),"")</f>
        <v>Hyundai Solaris 2017–2022</v>
      </c>
      <c r="C86" s="7" t="s">
        <v>267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268</v>
      </c>
    </row>
    <row r="87" customFormat="false" ht="15" hidden="false" customHeight="false" outlineLevel="0" collapsed="false">
      <c r="A87" s="6" t="s">
        <v>120</v>
      </c>
      <c r="B87" s="7" t="str">
        <f aca="false">IFERROR(INDEX(Киты!$C:$C,MATCH(A87,Киты!$A:$A,0)),"")</f>
        <v>Kia Rio 2011–2017</v>
      </c>
      <c r="C87" s="7" t="s">
        <v>261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262</v>
      </c>
    </row>
    <row r="88" customFormat="false" ht="15" hidden="false" customHeight="false" outlineLevel="0" collapsed="false">
      <c r="A88" s="6" t="s">
        <v>120</v>
      </c>
      <c r="B88" s="7" t="str">
        <f aca="false">IFERROR(INDEX(Киты!$C:$C,MATCH(A88,Киты!$A:$A,0)),"")</f>
        <v>Kia Rio 2011–2017</v>
      </c>
      <c r="C88" s="7" t="s">
        <v>263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120</v>
      </c>
      <c r="B89" s="7" t="str">
        <f aca="false">IFERROR(INDEX(Киты!$C:$C,MATCH(A89,Киты!$A:$A,0)),"")</f>
        <v>Kia Rio 2011–2017</v>
      </c>
      <c r="C89" s="7" t="s">
        <v>264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120</v>
      </c>
      <c r="B90" s="7" t="str">
        <f aca="false">IFERROR(INDEX(Киты!$C:$C,MATCH(A90,Киты!$A:$A,0)),"")</f>
        <v>Kia Rio 2011–2017</v>
      </c>
      <c r="C90" s="7" t="s">
        <v>265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266</v>
      </c>
    </row>
    <row r="91" customFormat="false" ht="15" hidden="false" customHeight="false" outlineLevel="0" collapsed="false">
      <c r="A91" s="6" t="s">
        <v>120</v>
      </c>
      <c r="B91" s="7" t="str">
        <f aca="false">IFERROR(INDEX(Киты!$C:$C,MATCH(A91,Киты!$A:$A,0)),"")</f>
        <v>Kia Rio 2011–2017</v>
      </c>
      <c r="C91" s="7" t="s">
        <v>267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268</v>
      </c>
    </row>
    <row r="92" customFormat="false" ht="15" hidden="false" customHeight="false" outlineLevel="0" collapsed="false">
      <c r="A92" s="6" t="s">
        <v>123</v>
      </c>
      <c r="B92" s="7" t="str">
        <f aca="false">IFERROR(INDEX(Киты!$C:$C,MATCH(A92,Киты!$A:$A,0)),"")</f>
        <v>Kia Rio 2017–2021</v>
      </c>
      <c r="C92" s="7" t="s">
        <v>261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262</v>
      </c>
    </row>
    <row r="93" customFormat="false" ht="15" hidden="false" customHeight="false" outlineLevel="0" collapsed="false">
      <c r="A93" s="6" t="s">
        <v>123</v>
      </c>
      <c r="B93" s="7" t="str">
        <f aca="false">IFERROR(INDEX(Киты!$C:$C,MATCH(A93,Киты!$A:$A,0)),"")</f>
        <v>Kia Rio 2017–2021</v>
      </c>
      <c r="C93" s="7" t="s">
        <v>263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123</v>
      </c>
      <c r="B94" s="7" t="str">
        <f aca="false">IFERROR(INDEX(Киты!$C:$C,MATCH(A94,Киты!$A:$A,0)),"")</f>
        <v>Kia Rio 2017–2021</v>
      </c>
      <c r="C94" s="7" t="s">
        <v>264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123</v>
      </c>
      <c r="B95" s="7" t="str">
        <f aca="false">IFERROR(INDEX(Киты!$C:$C,MATCH(A95,Киты!$A:$A,0)),"")</f>
        <v>Kia Rio 2017–2021</v>
      </c>
      <c r="C95" s="7" t="s">
        <v>265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266</v>
      </c>
    </row>
    <row r="96" customFormat="false" ht="15" hidden="false" customHeight="false" outlineLevel="0" collapsed="false">
      <c r="A96" s="6" t="s">
        <v>123</v>
      </c>
      <c r="B96" s="7" t="str">
        <f aca="false">IFERROR(INDEX(Киты!$C:$C,MATCH(A96,Киты!$A:$A,0)),"")</f>
        <v>Kia Rio 2017–2021</v>
      </c>
      <c r="C96" s="7" t="s">
        <v>267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268</v>
      </c>
    </row>
    <row r="97" customFormat="false" ht="15" hidden="false" customHeight="false" outlineLevel="0" collapsed="false">
      <c r="A97" s="6" t="s">
        <v>126</v>
      </c>
      <c r="B97" s="7" t="str">
        <f aca="false">IFERROR(INDEX(Киты!$C:$C,MATCH(A97,Киты!$A:$A,0)),"")</f>
        <v>VW Polo 1.6 CFNA</v>
      </c>
      <c r="C97" s="7" t="s">
        <v>261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262</v>
      </c>
    </row>
    <row r="98" customFormat="false" ht="15" hidden="false" customHeight="false" outlineLevel="0" collapsed="false">
      <c r="A98" s="6" t="s">
        <v>126</v>
      </c>
      <c r="B98" s="7" t="str">
        <f aca="false">IFERROR(INDEX(Киты!$C:$C,MATCH(A98,Киты!$A:$A,0)),"")</f>
        <v>VW Polo 1.6 CFNA</v>
      </c>
      <c r="C98" s="7" t="s">
        <v>263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126</v>
      </c>
      <c r="B99" s="7" t="str">
        <f aca="false">IFERROR(INDEX(Киты!$C:$C,MATCH(A99,Киты!$A:$A,0)),"")</f>
        <v>VW Polo 1.6 CFNA</v>
      </c>
      <c r="C99" s="7" t="s">
        <v>264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126</v>
      </c>
      <c r="B100" s="7" t="str">
        <f aca="false">IFERROR(INDEX(Киты!$C:$C,MATCH(A100,Киты!$A:$A,0)),"")</f>
        <v>VW Polo 1.6 CFNA</v>
      </c>
      <c r="C100" s="7" t="s">
        <v>265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266</v>
      </c>
    </row>
    <row r="101" customFormat="false" ht="15" hidden="false" customHeight="false" outlineLevel="0" collapsed="false">
      <c r="A101" s="6" t="s">
        <v>126</v>
      </c>
      <c r="B101" s="7" t="str">
        <f aca="false">IFERROR(INDEX(Киты!$C:$C,MATCH(A101,Киты!$A:$A,0)),"")</f>
        <v>VW Polo 1.6 CFNA</v>
      </c>
      <c r="C101" s="7" t="s">
        <v>267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268</v>
      </c>
    </row>
    <row r="102" customFormat="false" ht="15" hidden="false" customHeight="false" outlineLevel="0" collapsed="false">
      <c r="A102" s="6" t="s">
        <v>130</v>
      </c>
      <c r="B102" s="7" t="str">
        <f aca="false">IFERROR(INDEX(Киты!$C:$C,MATCH(A102,Киты!$A:$A,0)),"")</f>
        <v>VW Polo 1.6 CWVA</v>
      </c>
      <c r="C102" s="7" t="s">
        <v>269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130</v>
      </c>
      <c r="B103" s="7" t="str">
        <f aca="false">IFERROR(INDEX(Киты!$C:$C,MATCH(A103,Киты!$A:$A,0)),"")</f>
        <v>VW Polo 1.6 CWVA</v>
      </c>
      <c r="C103" s="7" t="s">
        <v>265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266</v>
      </c>
    </row>
    <row r="104" customFormat="false" ht="15" hidden="false" customHeight="false" outlineLevel="0" collapsed="false">
      <c r="A104" s="6" t="s">
        <v>130</v>
      </c>
      <c r="B104" s="7" t="str">
        <f aca="false">IFERROR(INDEX(Киты!$C:$C,MATCH(A104,Киты!$A:$A,0)),"")</f>
        <v>VW Polo 1.6 CWVA</v>
      </c>
      <c r="C104" s="7" t="s">
        <v>267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268</v>
      </c>
    </row>
    <row r="105" customFormat="false" ht="15" hidden="false" customHeight="false" outlineLevel="0" collapsed="false">
      <c r="A105" s="6" t="s">
        <v>133</v>
      </c>
      <c r="B105" s="7" t="str">
        <f aca="false">IFERROR(INDEX(Киты!$C:$C,MATCH(A105,Киты!$A:$A,0)),"")</f>
        <v>Haval Jolion 1.5T</v>
      </c>
      <c r="C105" s="7" t="s">
        <v>261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262</v>
      </c>
    </row>
    <row r="106" customFormat="false" ht="15" hidden="false" customHeight="false" outlineLevel="0" collapsed="false">
      <c r="A106" s="6" t="s">
        <v>133</v>
      </c>
      <c r="B106" s="7" t="str">
        <f aca="false">IFERROR(INDEX(Киты!$C:$C,MATCH(A106,Киты!$A:$A,0)),"")</f>
        <v>Haval Jolion 1.5T</v>
      </c>
      <c r="C106" s="7" t="s">
        <v>263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133</v>
      </c>
      <c r="B107" s="7" t="str">
        <f aca="false">IFERROR(INDEX(Киты!$C:$C,MATCH(A107,Киты!$A:$A,0)),"")</f>
        <v>Haval Jolion 1.5T</v>
      </c>
      <c r="C107" s="7" t="s">
        <v>264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133</v>
      </c>
      <c r="B108" s="7" t="str">
        <f aca="false">IFERROR(INDEX(Киты!$C:$C,MATCH(A108,Киты!$A:$A,0)),"")</f>
        <v>Haval Jolion 1.5T</v>
      </c>
      <c r="C108" s="7" t="s">
        <v>265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266</v>
      </c>
    </row>
    <row r="109" customFormat="false" ht="15" hidden="false" customHeight="false" outlineLevel="0" collapsed="false">
      <c r="A109" s="6" t="s">
        <v>133</v>
      </c>
      <c r="B109" s="7" t="str">
        <f aca="false">IFERROR(INDEX(Киты!$C:$C,MATCH(A109,Киты!$A:$A,0)),"")</f>
        <v>Haval Jolion 1.5T</v>
      </c>
      <c r="C109" s="7" t="s">
        <v>267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268</v>
      </c>
    </row>
    <row r="110" customFormat="false" ht="15" hidden="false" customHeight="false" outlineLevel="0" collapsed="false">
      <c r="A110" s="6" t="s">
        <v>136</v>
      </c>
      <c r="B110" s="7" t="str">
        <f aca="false">IFERROR(INDEX(Киты!$C:$C,MATCH(A110,Киты!$A:$A,0)),"")</f>
        <v>Haval F7 / F7x 1.5T</v>
      </c>
      <c r="C110" s="7" t="s">
        <v>261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262</v>
      </c>
    </row>
    <row r="111" customFormat="false" ht="15" hidden="false" customHeight="false" outlineLevel="0" collapsed="false">
      <c r="A111" s="6" t="s">
        <v>136</v>
      </c>
      <c r="B111" s="7" t="str">
        <f aca="false">IFERROR(INDEX(Киты!$C:$C,MATCH(A111,Киты!$A:$A,0)),"")</f>
        <v>Haval F7 / F7x 1.5T</v>
      </c>
      <c r="C111" s="7" t="s">
        <v>263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136</v>
      </c>
      <c r="B112" s="7" t="str">
        <f aca="false">IFERROR(INDEX(Киты!$C:$C,MATCH(A112,Киты!$A:$A,0)),"")</f>
        <v>Haval F7 / F7x 1.5T</v>
      </c>
      <c r="C112" s="7" t="s">
        <v>264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136</v>
      </c>
      <c r="B113" s="7" t="str">
        <f aca="false">IFERROR(INDEX(Киты!$C:$C,MATCH(A113,Киты!$A:$A,0)),"")</f>
        <v>Haval F7 / F7x 1.5T</v>
      </c>
      <c r="C113" s="7" t="s">
        <v>265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266</v>
      </c>
    </row>
    <row r="114" customFormat="false" ht="15" hidden="false" customHeight="false" outlineLevel="0" collapsed="false">
      <c r="A114" s="6" t="s">
        <v>136</v>
      </c>
      <c r="B114" s="7" t="str">
        <f aca="false">IFERROR(INDEX(Киты!$C:$C,MATCH(A114,Киты!$A:$A,0)),"")</f>
        <v>Haval F7 / F7x 1.5T</v>
      </c>
      <c r="C114" s="7" t="s">
        <v>267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268</v>
      </c>
    </row>
    <row r="115" customFormat="false" ht="15" hidden="false" customHeight="false" outlineLevel="0" collapsed="false">
      <c r="A115" s="6" t="s">
        <v>139</v>
      </c>
      <c r="B115" s="7" t="str">
        <f aca="false">IFERROR(INDEX(Киты!$C:$C,MATCH(A115,Киты!$A:$A,0)),"")</f>
        <v>Haval F7 / F7x 2.0T</v>
      </c>
      <c r="C115" s="7" t="s">
        <v>261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262</v>
      </c>
    </row>
    <row r="116" customFormat="false" ht="15" hidden="false" customHeight="false" outlineLevel="0" collapsed="false">
      <c r="A116" s="6" t="s">
        <v>139</v>
      </c>
      <c r="B116" s="7" t="str">
        <f aca="false">IFERROR(INDEX(Киты!$C:$C,MATCH(A116,Киты!$A:$A,0)),"")</f>
        <v>Haval F7 / F7x 2.0T</v>
      </c>
      <c r="C116" s="7" t="s">
        <v>263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139</v>
      </c>
      <c r="B117" s="7" t="str">
        <f aca="false">IFERROR(INDEX(Киты!$C:$C,MATCH(A117,Киты!$A:$A,0)),"")</f>
        <v>Haval F7 / F7x 2.0T</v>
      </c>
      <c r="C117" s="7" t="s">
        <v>264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139</v>
      </c>
      <c r="B118" s="7" t="str">
        <f aca="false">IFERROR(INDEX(Киты!$C:$C,MATCH(A118,Киты!$A:$A,0)),"")</f>
        <v>Haval F7 / F7x 2.0T</v>
      </c>
      <c r="C118" s="7" t="s">
        <v>265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266</v>
      </c>
    </row>
    <row r="119" customFormat="false" ht="15" hidden="false" customHeight="false" outlineLevel="0" collapsed="false">
      <c r="A119" s="6" t="s">
        <v>139</v>
      </c>
      <c r="B119" s="7" t="str">
        <f aca="false">IFERROR(INDEX(Киты!$C:$C,MATCH(A119,Киты!$A:$A,0)),"")</f>
        <v>Haval F7 / F7x 2.0T</v>
      </c>
      <c r="C119" s="7" t="s">
        <v>267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268</v>
      </c>
    </row>
    <row r="120" customFormat="false" ht="15" hidden="false" customHeight="false" outlineLevel="0" collapsed="false">
      <c r="A120" s="6" t="s">
        <v>142</v>
      </c>
      <c r="B120" s="7" t="str">
        <f aca="false">IFERROR(INDEX(Киты!$C:$C,MATCH(A120,Киты!$A:$A,0)),"")</f>
        <v>Chery Tiggo 7 Pro / 4 Pro 1.5T</v>
      </c>
      <c r="C120" s="7" t="s">
        <v>261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262</v>
      </c>
    </row>
    <row r="121" customFormat="false" ht="15" hidden="false" customHeight="false" outlineLevel="0" collapsed="false">
      <c r="A121" s="6" t="s">
        <v>142</v>
      </c>
      <c r="B121" s="7" t="str">
        <f aca="false">IFERROR(INDEX(Киты!$C:$C,MATCH(A121,Киты!$A:$A,0)),"")</f>
        <v>Chery Tiggo 7 Pro / 4 Pro 1.5T</v>
      </c>
      <c r="C121" s="7" t="s">
        <v>263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142</v>
      </c>
      <c r="B122" s="7" t="str">
        <f aca="false">IFERROR(INDEX(Киты!$C:$C,MATCH(A122,Киты!$A:$A,0)),"")</f>
        <v>Chery Tiggo 7 Pro / 4 Pro 1.5T</v>
      </c>
      <c r="C122" s="7" t="s">
        <v>264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142</v>
      </c>
      <c r="B123" s="7" t="str">
        <f aca="false">IFERROR(INDEX(Киты!$C:$C,MATCH(A123,Киты!$A:$A,0)),"")</f>
        <v>Chery Tiggo 7 Pro / 4 Pro 1.5T</v>
      </c>
      <c r="C123" s="7" t="s">
        <v>265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266</v>
      </c>
    </row>
    <row r="124" customFormat="false" ht="15" hidden="false" customHeight="false" outlineLevel="0" collapsed="false">
      <c r="A124" s="6" t="s">
        <v>142</v>
      </c>
      <c r="B124" s="7" t="str">
        <f aca="false">IFERROR(INDEX(Киты!$C:$C,MATCH(A124,Киты!$A:$A,0)),"")</f>
        <v>Chery Tiggo 7 Pro / 4 Pro 1.5T</v>
      </c>
      <c r="C124" s="7" t="s">
        <v>267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268</v>
      </c>
    </row>
    <row r="125" customFormat="false" ht="15" hidden="false" customHeight="false" outlineLevel="0" collapsed="false">
      <c r="A125" s="6" t="s">
        <v>147</v>
      </c>
      <c r="B125" s="7" t="str">
        <f aca="false">IFERROR(INDEX(Киты!$C:$C,MATCH(A125,Киты!$A:$A,0)),"")</f>
        <v>Geely Coolray 1.5T</v>
      </c>
      <c r="C125" s="7" t="s">
        <v>270</v>
      </c>
      <c r="D125" s="14" t="n">
        <v>1</v>
      </c>
      <c r="E125" s="14" t="s">
        <v>271</v>
      </c>
      <c r="F125" s="14" t="s">
        <v>272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 t="s">
        <v>273</v>
      </c>
    </row>
    <row r="126" customFormat="false" ht="15" hidden="false" customHeight="false" outlineLevel="0" collapsed="false">
      <c r="A126" s="6" t="s">
        <v>147</v>
      </c>
      <c r="B126" s="7" t="str">
        <f aca="false">IFERROR(INDEX(Киты!$C:$C,MATCH(A126,Киты!$A:$A,0)),"")</f>
        <v>Geely Coolray 1.5T</v>
      </c>
      <c r="C126" s="7" t="s">
        <v>274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275</v>
      </c>
    </row>
    <row r="127" customFormat="false" ht="15" hidden="false" customHeight="false" outlineLevel="0" collapsed="false">
      <c r="A127" s="6" t="s">
        <v>147</v>
      </c>
      <c r="B127" s="7" t="str">
        <f aca="false">IFERROR(INDEX(Киты!$C:$C,MATCH(A127,Киты!$A:$A,0)),"")</f>
        <v>Geely Coolray 1.5T</v>
      </c>
      <c r="C127" s="7" t="s">
        <v>265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266</v>
      </c>
    </row>
    <row r="128" customFormat="false" ht="15" hidden="false" customHeight="false" outlineLevel="0" collapsed="false">
      <c r="A128" s="6" t="s">
        <v>147</v>
      </c>
      <c r="B128" s="7" t="str">
        <f aca="false">IFERROR(INDEX(Киты!$C:$C,MATCH(A128,Киты!$A:$A,0)),"")</f>
        <v>Geely Coolray 1.5T</v>
      </c>
      <c r="C128" s="7" t="s">
        <v>267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276</v>
      </c>
      <c r="B1" s="5" t="s">
        <v>37</v>
      </c>
      <c r="C1" s="5" t="s">
        <v>277</v>
      </c>
      <c r="D1" s="5" t="s">
        <v>278</v>
      </c>
      <c r="E1" s="5" t="s">
        <v>279</v>
      </c>
      <c r="F1" s="5" t="s">
        <v>280</v>
      </c>
      <c r="G1" s="5" t="s">
        <v>281</v>
      </c>
      <c r="H1" s="5" t="s">
        <v>282</v>
      </c>
      <c r="I1" s="5" t="s">
        <v>283</v>
      </c>
      <c r="J1" s="5" t="s">
        <v>284</v>
      </c>
      <c r="K1" s="5" t="s">
        <v>234</v>
      </c>
    </row>
    <row r="2" customFormat="false" ht="15" hidden="false" customHeight="false" outlineLevel="0" collapsed="false">
      <c r="A2" s="20" t="s">
        <v>235</v>
      </c>
      <c r="B2" s="20" t="s">
        <v>285</v>
      </c>
      <c r="C2" s="20" t="s">
        <v>286</v>
      </c>
      <c r="D2" s="20" t="s">
        <v>287</v>
      </c>
      <c r="E2" s="20" t="n">
        <v>1</v>
      </c>
      <c r="F2" s="20" t="s">
        <v>288</v>
      </c>
      <c r="G2" s="20" t="s">
        <v>289</v>
      </c>
      <c r="H2" s="20" t="s">
        <v>290</v>
      </c>
      <c r="I2" s="20" t="s">
        <v>291</v>
      </c>
      <c r="J2" s="20" t="s">
        <v>292</v>
      </c>
      <c r="K2" s="20" t="s">
        <v>236</v>
      </c>
    </row>
    <row r="3" customFormat="false" ht="15" hidden="false" customHeight="false" outlineLevel="0" collapsed="false">
      <c r="A3" s="6" t="s">
        <v>222</v>
      </c>
      <c r="B3" s="14" t="s">
        <v>285</v>
      </c>
      <c r="C3" s="26"/>
      <c r="D3" s="26"/>
      <c r="E3" s="26"/>
      <c r="F3" s="26"/>
      <c r="G3" s="26"/>
      <c r="H3" s="26"/>
      <c r="I3" s="26"/>
      <c r="J3" s="26"/>
      <c r="K3" s="26"/>
    </row>
    <row r="4" customFormat="false" ht="15" hidden="false" customHeight="false" outlineLevel="0" collapsed="false">
      <c r="A4" s="6" t="s">
        <v>223</v>
      </c>
      <c r="B4" s="14" t="s">
        <v>285</v>
      </c>
      <c r="C4" s="26"/>
      <c r="D4" s="26"/>
      <c r="E4" s="26"/>
      <c r="F4" s="26"/>
      <c r="G4" s="26"/>
      <c r="H4" s="26"/>
      <c r="I4" s="26"/>
      <c r="J4" s="26"/>
      <c r="K4" s="26"/>
    </row>
    <row r="5" customFormat="false" ht="15" hidden="false" customHeight="false" outlineLevel="0" collapsed="false">
      <c r="A5" s="6" t="s">
        <v>224</v>
      </c>
      <c r="B5" s="14" t="s">
        <v>285</v>
      </c>
      <c r="C5" s="26"/>
      <c r="D5" s="26"/>
      <c r="E5" s="26"/>
      <c r="F5" s="26"/>
      <c r="G5" s="26"/>
      <c r="H5" s="26"/>
      <c r="I5" s="26"/>
      <c r="J5" s="26"/>
      <c r="K5" s="26"/>
    </row>
    <row r="6" customFormat="false" ht="15" hidden="false" customHeight="false" outlineLevel="0" collapsed="false">
      <c r="A6" s="6" t="s">
        <v>225</v>
      </c>
      <c r="B6" s="14" t="s">
        <v>285</v>
      </c>
      <c r="C6" s="26"/>
      <c r="D6" s="26"/>
      <c r="E6" s="26"/>
      <c r="F6" s="26"/>
      <c r="G6" s="26"/>
      <c r="H6" s="26"/>
      <c r="I6" s="26"/>
      <c r="J6" s="26"/>
      <c r="K6" s="26"/>
    </row>
    <row r="7" customFormat="false" ht="15" hidden="false" customHeight="false" outlineLevel="0" collapsed="false">
      <c r="A7" s="6" t="s">
        <v>226</v>
      </c>
      <c r="B7" s="14" t="s">
        <v>285</v>
      </c>
      <c r="C7" s="26"/>
      <c r="D7" s="26"/>
      <c r="E7" s="26"/>
      <c r="F7" s="26"/>
      <c r="G7" s="26"/>
      <c r="H7" s="26"/>
      <c r="I7" s="26"/>
      <c r="J7" s="26"/>
      <c r="K7" s="26"/>
    </row>
    <row r="8" customFormat="false" ht="15" hidden="false" customHeight="false" outlineLevel="0" collapsed="false">
      <c r="A8" s="6" t="s">
        <v>227</v>
      </c>
      <c r="B8" s="14" t="s">
        <v>285</v>
      </c>
      <c r="C8" s="26"/>
      <c r="D8" s="26"/>
      <c r="E8" s="26"/>
      <c r="F8" s="26"/>
      <c r="G8" s="26"/>
      <c r="H8" s="26"/>
      <c r="I8" s="26"/>
      <c r="J8" s="26"/>
      <c r="K8" s="26"/>
    </row>
    <row r="9" customFormat="false" ht="15" hidden="false" customHeight="false" outlineLevel="0" collapsed="false">
      <c r="A9" s="6" t="s">
        <v>228</v>
      </c>
      <c r="B9" s="14" t="s">
        <v>293</v>
      </c>
      <c r="C9" s="26"/>
      <c r="D9" s="26"/>
      <c r="E9" s="26"/>
      <c r="F9" s="26"/>
      <c r="G9" s="26"/>
      <c r="H9" s="26"/>
      <c r="I9" s="26"/>
      <c r="J9" s="26"/>
      <c r="K9" s="26"/>
    </row>
    <row r="10" customFormat="false" ht="15" hidden="false" customHeight="false" outlineLevel="0" collapsed="false">
      <c r="A10" s="6" t="s">
        <v>229</v>
      </c>
      <c r="B10" s="14" t="s">
        <v>285</v>
      </c>
      <c r="C10" s="26"/>
      <c r="D10" s="26"/>
      <c r="E10" s="26"/>
      <c r="F10" s="26"/>
      <c r="G10" s="26"/>
      <c r="H10" s="26"/>
      <c r="I10" s="26"/>
      <c r="J10" s="26"/>
      <c r="K10" s="26"/>
    </row>
    <row r="11" customFormat="false" ht="15" hidden="false" customHeight="false" outlineLevel="0" collapsed="false">
      <c r="A11" s="6" t="s">
        <v>230</v>
      </c>
      <c r="B11" s="14" t="s">
        <v>285</v>
      </c>
      <c r="C11" s="26"/>
      <c r="D11" s="26"/>
      <c r="E11" s="26"/>
      <c r="F11" s="26"/>
      <c r="G11" s="26"/>
      <c r="H11" s="26"/>
      <c r="I11" s="26"/>
      <c r="J11" s="26"/>
      <c r="K11" s="26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16</v>
      </c>
      <c r="B1" s="5" t="s">
        <v>294</v>
      </c>
      <c r="C1" s="5" t="s">
        <v>17</v>
      </c>
      <c r="D1" s="5" t="s">
        <v>18</v>
      </c>
      <c r="E1" s="5" t="s">
        <v>295</v>
      </c>
      <c r="F1" s="5" t="s">
        <v>296</v>
      </c>
      <c r="G1" s="5" t="s">
        <v>297</v>
      </c>
    </row>
    <row r="2" customFormat="false" ht="23.85" hidden="false" customHeight="false" outlineLevel="0" collapsed="false">
      <c r="A2" s="8" t="s">
        <v>298</v>
      </c>
      <c r="B2" s="8" t="s">
        <v>299</v>
      </c>
      <c r="C2" s="8" t="s">
        <v>300</v>
      </c>
      <c r="D2" s="8" t="s">
        <v>43</v>
      </c>
      <c r="E2" s="8" t="s">
        <v>301</v>
      </c>
      <c r="F2" s="8" t="s">
        <v>302</v>
      </c>
      <c r="G2" s="8" t="s">
        <v>303</v>
      </c>
    </row>
    <row r="3" customFormat="false" ht="23.85" hidden="false" customHeight="false" outlineLevel="0" collapsed="false">
      <c r="A3" s="8" t="s">
        <v>298</v>
      </c>
      <c r="B3" s="8" t="s">
        <v>304</v>
      </c>
      <c r="C3" s="8" t="s">
        <v>305</v>
      </c>
      <c r="D3" s="8" t="s">
        <v>43</v>
      </c>
      <c r="E3" s="8" t="s">
        <v>301</v>
      </c>
      <c r="F3" s="8" t="s">
        <v>306</v>
      </c>
      <c r="G3" s="8" t="s">
        <v>307</v>
      </c>
    </row>
    <row r="4" customFormat="false" ht="23.85" hidden="false" customHeight="false" outlineLevel="0" collapsed="false">
      <c r="A4" s="8" t="s">
        <v>308</v>
      </c>
      <c r="B4" s="8" t="s">
        <v>309</v>
      </c>
      <c r="C4" s="8" t="s">
        <v>310</v>
      </c>
      <c r="D4" s="8" t="s">
        <v>43</v>
      </c>
      <c r="E4" s="8" t="s">
        <v>301</v>
      </c>
      <c r="F4" s="8" t="s">
        <v>311</v>
      </c>
      <c r="G4" s="8" t="s">
        <v>307</v>
      </c>
    </row>
    <row r="5" customFormat="false" ht="15" hidden="false" customHeight="false" outlineLevel="0" collapsed="false">
      <c r="A5" s="8" t="s">
        <v>312</v>
      </c>
      <c r="B5" s="8" t="s">
        <v>313</v>
      </c>
      <c r="C5" s="8" t="s">
        <v>314</v>
      </c>
      <c r="D5" s="8" t="s">
        <v>69</v>
      </c>
      <c r="E5" s="8" t="s">
        <v>315</v>
      </c>
      <c r="F5" s="8" t="s">
        <v>311</v>
      </c>
      <c r="G5" s="8" t="s">
        <v>307</v>
      </c>
    </row>
    <row r="6" customFormat="false" ht="23.85" hidden="false" customHeight="false" outlineLevel="0" collapsed="false">
      <c r="A6" s="8" t="s">
        <v>316</v>
      </c>
      <c r="B6" s="8" t="s">
        <v>317</v>
      </c>
      <c r="C6" s="8" t="s">
        <v>318</v>
      </c>
      <c r="D6" s="8" t="s">
        <v>43</v>
      </c>
      <c r="E6" s="8" t="s">
        <v>301</v>
      </c>
      <c r="F6" s="8" t="s">
        <v>319</v>
      </c>
      <c r="G6" s="8" t="s">
        <v>320</v>
      </c>
    </row>
    <row r="7" customFormat="false" ht="23.85" hidden="false" customHeight="false" outlineLevel="0" collapsed="false">
      <c r="A7" s="8" t="s">
        <v>321</v>
      </c>
      <c r="B7" s="8" t="s">
        <v>322</v>
      </c>
      <c r="C7" s="8" t="s">
        <v>323</v>
      </c>
      <c r="D7" s="8" t="s">
        <v>43</v>
      </c>
      <c r="E7" s="8" t="s">
        <v>301</v>
      </c>
      <c r="F7" s="8" t="s">
        <v>319</v>
      </c>
      <c r="G7" s="8" t="s">
        <v>324</v>
      </c>
    </row>
    <row r="8" customFormat="false" ht="23.85" hidden="false" customHeight="false" outlineLevel="0" collapsed="false">
      <c r="A8" s="8" t="s">
        <v>325</v>
      </c>
      <c r="B8" s="8" t="s">
        <v>326</v>
      </c>
      <c r="C8" s="8" t="s">
        <v>327</v>
      </c>
      <c r="D8" s="8" t="s">
        <v>43</v>
      </c>
      <c r="E8" s="8" t="s">
        <v>301</v>
      </c>
      <c r="F8" s="8" t="s">
        <v>319</v>
      </c>
      <c r="G8" s="8" t="s">
        <v>328</v>
      </c>
    </row>
    <row r="9" customFormat="false" ht="23.85" hidden="false" customHeight="false" outlineLevel="0" collapsed="false">
      <c r="A9" s="8" t="s">
        <v>329</v>
      </c>
      <c r="B9" s="8" t="s">
        <v>326</v>
      </c>
      <c r="C9" s="8" t="s">
        <v>330</v>
      </c>
      <c r="D9" s="8" t="s">
        <v>99</v>
      </c>
      <c r="E9" s="8" t="s">
        <v>331</v>
      </c>
      <c r="F9" s="8" t="s">
        <v>319</v>
      </c>
      <c r="G9" s="8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2026-09-27T20:17:59Z</dcterms:created>
  <dc:creator>openpyxl</dc:creator>
  <dc:description/>
  <dc:language>en-US</dc:language>
  <cp:lastModifiedBy/>
  <dcterms:modified xsi:type="dcterms:W3CDTF">2026-09-27T20:17:59Z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