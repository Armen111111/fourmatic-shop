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рогноз" sheetId="3" state="visible" r:id="rId5"/>
    <sheet name="Параметры" sheetId="4" state="visible" r:id="rId6"/>
    <sheet name="Состав" sheetId="5" state="visible" r:id="rId7"/>
    <sheet name="Поставщики" sheetId="6" state="visible" r:id="rId8"/>
    <sheet name="Мотор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</commentList>
</comments>
</file>

<file path=xl/sharedStrings.xml><?xml version="1.0" encoding="utf-8"?>
<sst xmlns="http://schemas.openxmlformats.org/spreadsheetml/2006/main" count="774" uniqueCount="323">
  <si>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</si>
  <si>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</si>
  <si>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</si>
  <si>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</si>
  <si>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</si>
  <si>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</si>
  <si>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</t>
  </si>
  <si>
    <t xml:space="preserve">4. «Параметры» — наценка,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</si>
  <si>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 при разном числе заказов, точка безубыточности.</t>
  </si>
  <si>
    <t xml:space="preserve">6.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</si>
  <si>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</si>
  <si>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</si>
  <si>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</si>
  <si>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</si>
  <si>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</si>
  <si>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</si>
  <si>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</si>
  <si>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</si>
  <si>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</si>
  <si>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</si>
  <si>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</si>
  <si>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</si>
  <si>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</si>
  <si>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</si>
  <si>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</si>
  <si>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</si>
  <si>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</si>
  <si>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</si>
  <si>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</si>
  <si>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</si>
  <si>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</si>
  <si>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</si>
  <si>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</si>
  <si>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</si>
  <si>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</si>
  <si>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</si>
  <si>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</si>
  <si>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</si>
  <si>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</si>
  <si>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</si>
  <si>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</si>
  <si>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</si>
  <si>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</si>
  <si>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</si>
  <si>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</si>
  <si>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</si>
  <si>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</si>
  <si>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</si>
  <si>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</si>
  <si>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</si>
  <si>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</si>
  <si>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</si>
  <si>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</si>
  <si>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</si>
  <si>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</si>
  <si>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</si>
  <si>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</si>
  <si>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</si>
  <si>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</si>
  <si>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</si>
  <si>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</si>
  <si>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</si>
  <si>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</si>
  <si>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</si>
  <si>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</si>
  <si>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</si>
  <si>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</si>
  <si>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</si>
  <si>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</si>
  <si>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</si>
  <si>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</si>
  <si>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</si>
  <si>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</si>
  <si>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</si>
  <si>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</si>
  <si>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</si>
  <si>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</si>
  <si>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</si>
  <si>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</si>
  <si>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</si>
  <si>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</si>
  <si>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</si>
  <si>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</si>
  <si>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</si>
  <si>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</si>
  <si>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</si>
  <si>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</si>
  <si>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</si>
  <si>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</si>
  <si>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</si>
  <si>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</si>
  <si>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</si>
  <si>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</si>
  <si>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</si>
  <si>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</si>
  <si>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</si>
  <si>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</si>
  <si>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</si>
  <si>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</si>
  <si>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</si>
  <si>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</si>
  <si>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</si>
  <si>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</si>
  <si>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</si>
  <si>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</si>
  <si>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</si>
  <si>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</si>
  <si>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</si>
  <si>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</si>
  <si>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</si>
  <si>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</si>
  <si>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</si>
  <si>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</si>
  <si>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</si>
  <si>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</si>
  <si>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</si>
  <si>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</si>
  <si>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</si>
  <si>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</si>
  <si>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</si>
  <si>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</si>
  <si>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</si>
  <si>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</si>
  <si>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</si>
  <si>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</si>
  <si>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</si>
  <si>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</si>
  <si>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</si>
  <si>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</si>
  <si>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</si>
  <si>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</si>
  <si>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</si>
  <si>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</si>
  <si>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</si>
  <si>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</si>
  <si>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</si>
  <si>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</si>
  <si>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</si>
  <si>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</si>
  <si>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</si>
  <si>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</si>
  <si>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</si>
  <si>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</si>
  <si>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</si>
  <si>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</si>
  <si>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</si>
  <si>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</si>
  <si>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2 ролика</t>
  </si>
  <si>
    <t xml:space="preserve">grm-12-coolray-1-main.png</t>
  </si>
  <si>
    <t xml:space="preserve">Прогноз на месяц (до налога)</t>
  </si>
  <si>
    <t xml:space="preserve">Средний чек кита, ₽</t>
  </si>
  <si>
    <t xml:space="preserve">Среднее по собранным китам Picanto (4 190) и Jetta (4 790). Замените, когда соберёте больше китов.</t>
  </si>
  <si>
    <t xml:space="preserve">Средняя стоимость деталей, ₽</t>
  </si>
  <si>
    <t xml:space="preserve">Среднее по Picanto (3 126) и Jetta (3 604).</t>
  </si>
  <si>
    <t xml:space="preserve">Доля оплат через Авито Доставку</t>
  </si>
  <si>
    <t xml:space="preserve">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</si>
  <si>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</si>
  <si>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</si>
  <si>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</si>
  <si>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</si>
  <si>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</si>
  <si>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</si>
  <si>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Заказов в месяц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</si>
  <si>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</si>
  <si>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</si>
  <si>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</si>
  <si>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</si>
  <si>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</si>
  <si>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</si>
  <si>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Налог не учтён. Число заказов в колонке A можно менять. При росте продаж впишите в «Параметры» подписку Авито Pro, если подключите.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</si>
  <si>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</si>
  <si>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</si>
  <si>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</si>
  <si>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</si>
  <si>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</si>
  <si>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</si>
  <si>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</si>
  <si>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</si>
  <si>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</si>
  <si>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</si>
  <si>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</si>
  <si>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</si>
  <si>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</si>
  <si>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</si>
  <si>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</si>
  <si>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</si>
  <si>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</si>
  <si>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</si>
  <si>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</si>
  <si>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</si>
  <si>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</si>
  <si>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</si>
  <si>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</si>
  <si>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</si>
  <si>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</si>
  <si>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</si>
  <si>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</si>
  <si>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</si>
  <si>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</si>
  <si>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</si>
  <si>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</si>
  <si>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</si>
  <si>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</si>
  <si>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</si>
  <si>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</si>
  <si>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</si>
  <si>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</si>
  <si>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</si>
  <si>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</si>
  <si>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</si>
  <si>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</si>
  <si>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</si>
  <si>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</si>
  <si>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</si>
  <si>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</si>
  <si>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</si>
  <si>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</si>
  <si>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</si>
  <si>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</si>
  <si>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</si>
  <si>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</si>
  <si>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</si>
  <si>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</si>
  <si>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</si>
  <si>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</si>
  <si>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</si>
  <si>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</si>
  <si>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</si>
  <si>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</si>
  <si>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</si>
  <si>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</si>
  <si>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</si>
  <si>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</si>
  <si>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</si>
  <si>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</si>
  <si>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</si>
  <si>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</si>
  <si>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</si>
  <si>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</si>
  <si>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</si>
  <si>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</si>
  <si>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</si>
  <si>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</si>
  <si>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</si>
  <si>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</si>
  <si>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</si>
  <si>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</si>
  <si>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</si>
  <si>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</si>
  <si>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</si>
  <si>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</si>
  <si>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</si>
  <si>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</si>
  <si>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</si>
  <si>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</si>
  <si>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</si>
  <si>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</si>
  <si>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</si>
  <si>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</si>
  <si>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</si>
  <si>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XIAOLU XIBTK007: ремень и 2 ролика</t>
  </si>
  <si>
    <t xml:space="preserve">XIAOLU</t>
  </si>
  <si>
    <t xml:space="preserve">XIBTK007</t>
  </si>
  <si>
    <t xml:space="preserve">Ваша закупка: 8 582,00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</si>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</sst>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%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4" min="24" style="0" width="14"/>
  </cols>
  <sheetData>
    <row r="1" customFormat="false" ht="43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37</v>
      </c>
    </row>
    <row r="2" customFormat="false" ht="15" hidden="false" customHeight="false" outlineLevel="0" collapsed="false">
      <c r="A2" s="6" t="s">
        <v>38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8" t="s">
        <v>44</v>
      </c>
      <c r="H2" s="7" t="s">
        <v>45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IF(I2="","",CEILING((I2*(1+Параметры!$B$8*Параметры!$B$9)+K2)*(1+Параметры!$B$2),Параметры!$B$4)-Параметры!$B$5)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IF(M2="","",M2*Параметры!$B$6)</f>
        <v/>
      </c>
      <c r="Q2" s="9" t="str">
        <f aca="false">IF(M2="","",M2*Параметры!$B$10)</f>
        <v/>
      </c>
      <c r="R2" s="9" t="str">
        <f aca="false">IF(M2="","",Параметры!$B$7)</f>
        <v/>
      </c>
      <c r="S2" s="9" t="str">
        <f aca="false">IF(I2="","",I2*Параметры!$B$8)</f>
        <v/>
      </c>
      <c r="T2" s="9" t="str">
        <f aca="false">IF(M2="","",Параметры!$B$18)</f>
        <v/>
      </c>
      <c r="U2" s="11" t="str">
        <f aca="false">IF(M2="","",M2-L2-P2-R2-S2-T2)</f>
        <v/>
      </c>
      <c r="V2" s="11" t="str">
        <f aca="false">IF(M2="","",M2-L2-Q2-R2-S2-T2-Параметры!$B$11)</f>
        <v/>
      </c>
      <c r="W2" s="13" t="str">
        <f aca="false">IF(U2="","",U2/M2)</f>
        <v/>
      </c>
      <c r="X2" s="14" t="s">
        <v>46</v>
      </c>
    </row>
    <row r="3" customFormat="false" ht="15" hidden="false" customHeight="false" outlineLevel="0" collapsed="false">
      <c r="A3" s="6" t="s">
        <v>47</v>
      </c>
      <c r="B3" s="7" t="s">
        <v>39</v>
      </c>
      <c r="C3" s="7" t="s">
        <v>48</v>
      </c>
      <c r="D3" s="7" t="s">
        <v>49</v>
      </c>
      <c r="E3" s="7" t="s">
        <v>42</v>
      </c>
      <c r="F3" s="7" t="s">
        <v>43</v>
      </c>
      <c r="G3" s="8" t="s">
        <v>50</v>
      </c>
      <c r="H3" s="7" t="s">
        <v>51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IF(I3="","",CEILING((I3*(1+Параметры!$B$8*Параметры!$B$9)+K3)*(1+Параметры!$B$2),Параметры!$B$4)-Параметры!$B$5)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IF(M3="","",M3*Параметры!$B$6)</f>
        <v/>
      </c>
      <c r="Q3" s="9" t="str">
        <f aca="false">IF(M3="","",M3*Параметры!$B$10)</f>
        <v/>
      </c>
      <c r="R3" s="9" t="str">
        <f aca="false">IF(M3="","",Параметры!$B$7)</f>
        <v/>
      </c>
      <c r="S3" s="9" t="str">
        <f aca="false">IF(I3="","",I3*Параметры!$B$8)</f>
        <v/>
      </c>
      <c r="T3" s="9" t="str">
        <f aca="false">IF(M3="","",Параметры!$B$18)</f>
        <v/>
      </c>
      <c r="U3" s="11" t="str">
        <f aca="false">IF(M3="","",M3-L3-P3-R3-S3-T3)</f>
        <v/>
      </c>
      <c r="V3" s="11" t="str">
        <f aca="false">IF(M3="","",M3-L3-Q3-R3-S3-T3-Параметры!$B$11)</f>
        <v/>
      </c>
      <c r="W3" s="13" t="str">
        <f aca="false">IF(U3="","",U3/M3)</f>
        <v/>
      </c>
      <c r="X3" s="14" t="s">
        <v>46</v>
      </c>
    </row>
    <row r="4" customFormat="false" ht="15" hidden="false" customHeight="false" outlineLevel="0" collapsed="false">
      <c r="A4" s="6" t="s">
        <v>52</v>
      </c>
      <c r="B4" s="7" t="s">
        <v>39</v>
      </c>
      <c r="C4" s="7" t="s">
        <v>53</v>
      </c>
      <c r="D4" s="7" t="s">
        <v>41</v>
      </c>
      <c r="E4" s="7" t="s">
        <v>42</v>
      </c>
      <c r="F4" s="7" t="s">
        <v>43</v>
      </c>
      <c r="G4" s="8" t="s">
        <v>54</v>
      </c>
      <c r="H4" s="7" t="s">
        <v>55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IF(I4="","",CEILING((I4*(1+Параметры!$B$8*Параметры!$B$9)+K4)*(1+Параметры!$B$2),Параметры!$B$4)-Параметры!$B$5)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IF(M4="","",M4*Параметры!$B$6)</f>
        <v/>
      </c>
      <c r="Q4" s="9" t="str">
        <f aca="false">IF(M4="","",M4*Параметры!$B$10)</f>
        <v/>
      </c>
      <c r="R4" s="9" t="str">
        <f aca="false">IF(M4="","",Параметры!$B$7)</f>
        <v/>
      </c>
      <c r="S4" s="9" t="str">
        <f aca="false">IF(I4="","",I4*Параметры!$B$8)</f>
        <v/>
      </c>
      <c r="T4" s="9" t="str">
        <f aca="false">IF(M4="","",Параметры!$B$18)</f>
        <v/>
      </c>
      <c r="U4" s="11" t="str">
        <f aca="false">IF(M4="","",M4-L4-P4-R4-S4-T4)</f>
        <v/>
      </c>
      <c r="V4" s="11" t="str">
        <f aca="false">IF(M4="","",M4-L4-Q4-R4-S4-T4-Параметры!$B$11)</f>
        <v/>
      </c>
      <c r="W4" s="13" t="str">
        <f aca="false">IF(U4="","",U4/M4)</f>
        <v/>
      </c>
      <c r="X4" s="14" t="s">
        <v>46</v>
      </c>
    </row>
    <row r="5" customFormat="false" ht="15" hidden="false" customHeight="false" outlineLevel="0" collapsed="false">
      <c r="A5" s="6" t="s">
        <v>56</v>
      </c>
      <c r="B5" s="7" t="s">
        <v>39</v>
      </c>
      <c r="C5" s="7" t="s">
        <v>57</v>
      </c>
      <c r="D5" s="7" t="s">
        <v>49</v>
      </c>
      <c r="E5" s="7" t="s">
        <v>42</v>
      </c>
      <c r="F5" s="7" t="s">
        <v>43</v>
      </c>
      <c r="G5" s="8" t="s">
        <v>58</v>
      </c>
      <c r="H5" s="7" t="s">
        <v>59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IF(I5="","",CEILING((I5*(1+Параметры!$B$8*Параметры!$B$9)+K5)*(1+Параметры!$B$2),Параметры!$B$4)-Параметры!$B$5)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IF(M5="","",M5*Параметры!$B$6)</f>
        <v/>
      </c>
      <c r="Q5" s="9" t="str">
        <f aca="false">IF(M5="","",M5*Параметры!$B$10)</f>
        <v/>
      </c>
      <c r="R5" s="9" t="str">
        <f aca="false">IF(M5="","",Параметры!$B$7)</f>
        <v/>
      </c>
      <c r="S5" s="9" t="str">
        <f aca="false">IF(I5="","",I5*Параметры!$B$8)</f>
        <v/>
      </c>
      <c r="T5" s="9" t="str">
        <f aca="false">IF(M5="","",Параметры!$B$18)</f>
        <v/>
      </c>
      <c r="U5" s="11" t="str">
        <f aca="false">IF(M5="","",M5-L5-P5-R5-S5-T5)</f>
        <v/>
      </c>
      <c r="V5" s="11" t="str">
        <f aca="false">IF(M5="","",M5-L5-Q5-R5-S5-T5-Параметры!$B$11)</f>
        <v/>
      </c>
      <c r="W5" s="13" t="str">
        <f aca="false">IF(U5="","",U5/M5)</f>
        <v/>
      </c>
      <c r="X5" s="14" t="s">
        <v>46</v>
      </c>
    </row>
    <row r="6" customFormat="false" ht="15" hidden="false" customHeight="false" outlineLevel="0" collapsed="false">
      <c r="A6" s="6" t="s">
        <v>60</v>
      </c>
      <c r="B6" s="7" t="s">
        <v>39</v>
      </c>
      <c r="C6" s="7" t="s">
        <v>61</v>
      </c>
      <c r="D6" s="7" t="s">
        <v>62</v>
      </c>
      <c r="E6" s="7" t="s">
        <v>42</v>
      </c>
      <c r="F6" s="7" t="s">
        <v>43</v>
      </c>
      <c r="G6" s="8" t="s">
        <v>63</v>
      </c>
      <c r="H6" s="7" t="s">
        <v>64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IF(I6="","",CEILING((I6*(1+Параметры!$B$8*Параметры!$B$9)+K6)*(1+Параметры!$B$2),Параметры!$B$4)-Параметры!$B$5)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IF(M6="","",M6*Параметры!$B$6)</f>
        <v/>
      </c>
      <c r="Q6" s="9" t="str">
        <f aca="false">IF(M6="","",M6*Параметры!$B$10)</f>
        <v/>
      </c>
      <c r="R6" s="9" t="str">
        <f aca="false">IF(M6="","",Параметры!$B$7)</f>
        <v/>
      </c>
      <c r="S6" s="9" t="str">
        <f aca="false">IF(I6="","",I6*Параметры!$B$8)</f>
        <v/>
      </c>
      <c r="T6" s="9" t="str">
        <f aca="false">IF(M6="","",Параметры!$B$18)</f>
        <v/>
      </c>
      <c r="U6" s="11" t="str">
        <f aca="false">IF(M6="","",M6-L6-P6-R6-S6-T6)</f>
        <v/>
      </c>
      <c r="V6" s="11" t="str">
        <f aca="false">IF(M6="","",M6-L6-Q6-R6-S6-T6-Параметры!$B$11)</f>
        <v/>
      </c>
      <c r="W6" s="13" t="str">
        <f aca="false">IF(U6="","",U6/M6)</f>
        <v/>
      </c>
      <c r="X6" s="14" t="s">
        <v>46</v>
      </c>
    </row>
    <row r="7" customFormat="false" ht="15" hidden="false" customHeight="false" outlineLevel="0" collapsed="false">
      <c r="A7" s="6" t="s">
        <v>65</v>
      </c>
      <c r="B7" s="7" t="s">
        <v>39</v>
      </c>
      <c r="C7" s="7" t="s">
        <v>66</v>
      </c>
      <c r="D7" s="7" t="s">
        <v>67</v>
      </c>
      <c r="E7" s="7" t="s">
        <v>68</v>
      </c>
      <c r="F7" s="7" t="s">
        <v>43</v>
      </c>
      <c r="G7" s="8" t="s">
        <v>69</v>
      </c>
      <c r="H7" s="7" t="s">
        <v>70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IF(I7="","",CEILING((I7*(1+Параметры!$B$8*Параметры!$B$9)+K7)*(1+Параметры!$B$2),Параметры!$B$4)-Параметры!$B$5)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IF(M7="","",M7*Параметры!$B$6)</f>
        <v/>
      </c>
      <c r="Q7" s="9" t="str">
        <f aca="false">IF(M7="","",M7*Параметры!$B$10)</f>
        <v/>
      </c>
      <c r="R7" s="9" t="str">
        <f aca="false">IF(M7="","",Параметры!$B$7)</f>
        <v/>
      </c>
      <c r="S7" s="9" t="str">
        <f aca="false">IF(I7="","",I7*Параметры!$B$8)</f>
        <v/>
      </c>
      <c r="T7" s="9" t="str">
        <f aca="false">IF(M7="","",Параметры!$B$18)</f>
        <v/>
      </c>
      <c r="U7" s="11" t="str">
        <f aca="false">IF(M7="","",M7-L7-P7-R7-S7-T7)</f>
        <v/>
      </c>
      <c r="V7" s="11" t="str">
        <f aca="false">IF(M7="","",M7-L7-Q7-R7-S7-T7-Параметры!$B$11)</f>
        <v/>
      </c>
      <c r="W7" s="13" t="str">
        <f aca="false">IF(U7="","",U7/M7)</f>
        <v/>
      </c>
      <c r="X7" s="14" t="s">
        <v>46</v>
      </c>
    </row>
    <row r="8" customFormat="false" ht="15" hidden="false" customHeight="false" outlineLevel="0" collapsed="false">
      <c r="A8" s="6" t="s">
        <v>71</v>
      </c>
      <c r="B8" s="7" t="s">
        <v>39</v>
      </c>
      <c r="C8" s="7" t="s">
        <v>72</v>
      </c>
      <c r="D8" s="7" t="s">
        <v>73</v>
      </c>
      <c r="E8" s="7" t="s">
        <v>42</v>
      </c>
      <c r="F8" s="7" t="s">
        <v>43</v>
      </c>
      <c r="G8" s="8" t="s">
        <v>74</v>
      </c>
      <c r="H8" s="7" t="s">
        <v>75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IF(I8="","",CEILING((I8*(1+Параметры!$B$8*Параметры!$B$9)+K8)*(1+Параметры!$B$2),Параметры!$B$4)-Параметры!$B$5)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IF(M8="","",M8*Параметры!$B$6)</f>
        <v/>
      </c>
      <c r="Q8" s="9" t="str">
        <f aca="false">IF(M8="","",M8*Параметры!$B$10)</f>
        <v/>
      </c>
      <c r="R8" s="9" t="str">
        <f aca="false">IF(M8="","",Параметры!$B$7)</f>
        <v/>
      </c>
      <c r="S8" s="9" t="str">
        <f aca="false">IF(I8="","",I8*Параметры!$B$8)</f>
        <v/>
      </c>
      <c r="T8" s="9" t="str">
        <f aca="false">IF(M8="","",Параметры!$B$18)</f>
        <v/>
      </c>
      <c r="U8" s="11" t="str">
        <f aca="false">IF(M8="","",M8-L8-P8-R8-S8-T8)</f>
        <v/>
      </c>
      <c r="V8" s="11" t="str">
        <f aca="false">IF(M8="","",M8-L8-Q8-R8-S8-T8-Параметры!$B$11)</f>
        <v/>
      </c>
      <c r="W8" s="13" t="str">
        <f aca="false">IF(U8="","",U8/M8)</f>
        <v/>
      </c>
      <c r="X8" s="14" t="s">
        <v>46</v>
      </c>
    </row>
    <row r="9" customFormat="false" ht="15" hidden="false" customHeight="false" outlineLevel="0" collapsed="false">
      <c r="A9" s="6" t="s">
        <v>76</v>
      </c>
      <c r="B9" s="7" t="s">
        <v>39</v>
      </c>
      <c r="C9" s="7" t="s">
        <v>77</v>
      </c>
      <c r="D9" s="7" t="s">
        <v>78</v>
      </c>
      <c r="E9" s="7" t="s">
        <v>42</v>
      </c>
      <c r="F9" s="7" t="s">
        <v>43</v>
      </c>
      <c r="G9" s="8" t="s">
        <v>79</v>
      </c>
      <c r="H9" s="7" t="s">
        <v>80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IF(I9="","",CEILING((I9*(1+Параметры!$B$8*Параметры!$B$9)+K9)*(1+Параметры!$B$2),Параметры!$B$4)-Параметры!$B$5)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IF(M9="","",M9*Параметры!$B$6)</f>
        <v/>
      </c>
      <c r="Q9" s="9" t="str">
        <f aca="false">IF(M9="","",M9*Параметры!$B$10)</f>
        <v/>
      </c>
      <c r="R9" s="9" t="str">
        <f aca="false">IF(M9="","",Параметры!$B$7)</f>
        <v/>
      </c>
      <c r="S9" s="9" t="str">
        <f aca="false">IF(I9="","",I9*Параметры!$B$8)</f>
        <v/>
      </c>
      <c r="T9" s="9" t="str">
        <f aca="false">IF(M9="","",Параметры!$B$18)</f>
        <v/>
      </c>
      <c r="U9" s="11" t="str">
        <f aca="false">IF(M9="","",M9-L9-P9-R9-S9-T9)</f>
        <v/>
      </c>
      <c r="V9" s="11" t="str">
        <f aca="false">IF(M9="","",M9-L9-Q9-R9-S9-T9-Параметры!$B$11)</f>
        <v/>
      </c>
      <c r="W9" s="13" t="str">
        <f aca="false">IF(U9="","",U9/M9)</f>
        <v/>
      </c>
      <c r="X9" s="14" t="s">
        <v>46</v>
      </c>
    </row>
    <row r="10" customFormat="false" ht="15" hidden="false" customHeight="false" outlineLevel="0" collapsed="false">
      <c r="A10" s="6" t="s">
        <v>81</v>
      </c>
      <c r="B10" s="7" t="s">
        <v>39</v>
      </c>
      <c r="C10" s="7" t="s">
        <v>82</v>
      </c>
      <c r="D10" s="7" t="s">
        <v>83</v>
      </c>
      <c r="E10" s="7" t="s">
        <v>42</v>
      </c>
      <c r="F10" s="7" t="s">
        <v>43</v>
      </c>
      <c r="G10" s="8" t="s">
        <v>84</v>
      </c>
      <c r="H10" s="7" t="s">
        <v>85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IF(I10="","",CEILING((I10*(1+Параметры!$B$8*Параметры!$B$9)+K10)*(1+Параметры!$B$2),Параметры!$B$4)-Параметры!$B$5)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IF(M10="","",M10*Параметры!$B$6)</f>
        <v/>
      </c>
      <c r="Q10" s="9" t="str">
        <f aca="false">IF(M10="","",M10*Параметры!$B$10)</f>
        <v/>
      </c>
      <c r="R10" s="9" t="str">
        <f aca="false">IF(M10="","",Параметры!$B$7)</f>
        <v/>
      </c>
      <c r="S10" s="9" t="str">
        <f aca="false">IF(I10="","",I10*Параметры!$B$8)</f>
        <v/>
      </c>
      <c r="T10" s="9" t="str">
        <f aca="false">IF(M10="","",Параметры!$B$18)</f>
        <v/>
      </c>
      <c r="U10" s="11" t="str">
        <f aca="false">IF(M10="","",M10-L10-P10-R10-S10-T10)</f>
        <v/>
      </c>
      <c r="V10" s="11" t="str">
        <f aca="false">IF(M10="","",M10-L10-Q10-R10-S10-T10-Параметры!$B$11)</f>
        <v/>
      </c>
      <c r="W10" s="13" t="str">
        <f aca="false">IF(U10="","",U10/M10)</f>
        <v/>
      </c>
      <c r="X10" s="14" t="s">
        <v>46</v>
      </c>
    </row>
    <row r="11" customFormat="false" ht="15" hidden="false" customHeight="false" outlineLevel="0" collapsed="false">
      <c r="A11" s="6" t="s">
        <v>86</v>
      </c>
      <c r="B11" s="7" t="s">
        <v>39</v>
      </c>
      <c r="C11" s="7" t="s">
        <v>87</v>
      </c>
      <c r="D11" s="7" t="s">
        <v>88</v>
      </c>
      <c r="E11" s="7" t="s">
        <v>42</v>
      </c>
      <c r="F11" s="7" t="s">
        <v>43</v>
      </c>
      <c r="G11" s="8" t="s">
        <v>89</v>
      </c>
      <c r="H11" s="7" t="s">
        <v>90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IF(I11="","",CEILING((I11*(1+Параметры!$B$8*Параметры!$B$9)+K11)*(1+Параметры!$B$2),Параметры!$B$4)-Параметры!$B$5)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IF(M11="","",M11*Параметры!$B$6)</f>
        <v/>
      </c>
      <c r="Q11" s="9" t="str">
        <f aca="false">IF(M11="","",M11*Параметры!$B$10)</f>
        <v/>
      </c>
      <c r="R11" s="9" t="str">
        <f aca="false">IF(M11="","",Параметры!$B$7)</f>
        <v/>
      </c>
      <c r="S11" s="9" t="str">
        <f aca="false">IF(I11="","",I11*Параметры!$B$8)</f>
        <v/>
      </c>
      <c r="T11" s="9" t="str">
        <f aca="false">IF(M11="","",Параметры!$B$18)</f>
        <v/>
      </c>
      <c r="U11" s="11" t="str">
        <f aca="false">IF(M11="","",M11-L11-P11-R11-S11-T11)</f>
        <v/>
      </c>
      <c r="V11" s="11" t="str">
        <f aca="false">IF(M11="","",M11-L11-Q11-R11-S11-T11-Параметры!$B$11)</f>
        <v/>
      </c>
      <c r="W11" s="13" t="str">
        <f aca="false">IF(U11="","",U11/M11)</f>
        <v/>
      </c>
      <c r="X11" s="14" t="s">
        <v>46</v>
      </c>
    </row>
    <row r="12" customFormat="false" ht="15" hidden="false" customHeight="false" outlineLevel="0" collapsed="false">
      <c r="A12" s="6" t="s">
        <v>91</v>
      </c>
      <c r="B12" s="7" t="s">
        <v>39</v>
      </c>
      <c r="C12" s="7" t="s">
        <v>92</v>
      </c>
      <c r="D12" s="7" t="s">
        <v>88</v>
      </c>
      <c r="E12" s="7" t="s">
        <v>42</v>
      </c>
      <c r="F12" s="7" t="s">
        <v>43</v>
      </c>
      <c r="G12" s="8" t="s">
        <v>93</v>
      </c>
      <c r="H12" s="7" t="s">
        <v>94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IF(I12="","",CEILING((I12*(1+Параметры!$B$8*Параметры!$B$9)+K12)*(1+Параметры!$B$2),Параметры!$B$4)-Параметры!$B$5)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IF(M12="","",M12*Параметры!$B$6)</f>
        <v/>
      </c>
      <c r="Q12" s="9" t="str">
        <f aca="false">IF(M12="","",M12*Параметры!$B$10)</f>
        <v/>
      </c>
      <c r="R12" s="9" t="str">
        <f aca="false">IF(M12="","",Параметры!$B$7)</f>
        <v/>
      </c>
      <c r="S12" s="9" t="str">
        <f aca="false">IF(I12="","",I12*Параметры!$B$8)</f>
        <v/>
      </c>
      <c r="T12" s="9" t="str">
        <f aca="false">IF(M12="","",Параметры!$B$18)</f>
        <v/>
      </c>
      <c r="U12" s="11" t="str">
        <f aca="false">IF(M12="","",M12-L12-P12-R12-S12-T12)</f>
        <v/>
      </c>
      <c r="V12" s="11" t="str">
        <f aca="false">IF(M12="","",M12-L12-Q12-R12-S12-T12-Параметры!$B$11)</f>
        <v/>
      </c>
      <c r="W12" s="13" t="str">
        <f aca="false">IF(U12="","",U12/M12)</f>
        <v/>
      </c>
      <c r="X12" s="14" t="s">
        <v>46</v>
      </c>
    </row>
    <row r="13" customFormat="false" ht="15" hidden="false" customHeight="false" outlineLevel="0" collapsed="false">
      <c r="A13" s="6" t="s">
        <v>95</v>
      </c>
      <c r="B13" s="7" t="s">
        <v>39</v>
      </c>
      <c r="C13" s="7" t="s">
        <v>96</v>
      </c>
      <c r="D13" s="7" t="s">
        <v>97</v>
      </c>
      <c r="E13" s="7" t="s">
        <v>98</v>
      </c>
      <c r="F13" s="7" t="s">
        <v>43</v>
      </c>
      <c r="G13" s="8" t="s">
        <v>99</v>
      </c>
      <c r="H13" s="7" t="s">
        <v>100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IF(I13="","",CEILING((I13*(1+Параметры!$B$8*Параметры!$B$9)+K13)*(1+Параметры!$B$2),Параметры!$B$4)-Параметры!$B$5)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IF(M13="","",M13*Параметры!$B$6)</f>
        <v/>
      </c>
      <c r="Q13" s="9" t="str">
        <f aca="false">IF(M13="","",M13*Параметры!$B$10)</f>
        <v/>
      </c>
      <c r="R13" s="9" t="str">
        <f aca="false">IF(M13="","",Параметры!$B$7)</f>
        <v/>
      </c>
      <c r="S13" s="9" t="str">
        <f aca="false">IF(I13="","",I13*Параметры!$B$8)</f>
        <v/>
      </c>
      <c r="T13" s="9" t="str">
        <f aca="false">IF(M13="","",Параметры!$B$18)</f>
        <v/>
      </c>
      <c r="U13" s="11" t="str">
        <f aca="false">IF(M13="","",M13-L13-P13-R13-S13-T13)</f>
        <v/>
      </c>
      <c r="V13" s="11" t="str">
        <f aca="false">IF(M13="","",M13-L13-Q13-R13-S13-T13-Параметры!$B$11)</f>
        <v/>
      </c>
      <c r="W13" s="13" t="str">
        <f aca="false">IF(U13="","",U13/M13)</f>
        <v/>
      </c>
      <c r="X13" s="14" t="s">
        <v>46</v>
      </c>
    </row>
    <row r="14" customFormat="false" ht="15" hidden="false" customHeight="false" outlineLevel="0" collapsed="false">
      <c r="A14" s="6" t="s">
        <v>101</v>
      </c>
      <c r="B14" s="7" t="s">
        <v>39</v>
      </c>
      <c r="C14" s="7" t="s">
        <v>102</v>
      </c>
      <c r="D14" s="7" t="s">
        <v>103</v>
      </c>
      <c r="E14" s="7" t="s">
        <v>42</v>
      </c>
      <c r="F14" s="7" t="s">
        <v>43</v>
      </c>
      <c r="G14" s="8" t="s">
        <v>104</v>
      </c>
      <c r="H14" s="7" t="s">
        <v>105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IF(I14="","",CEILING((I14*(1+Параметры!$B$8*Параметры!$B$9)+K14)*(1+Параметры!$B$2),Параметры!$B$4)-Параметры!$B$5)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IF(M14="","",M14*Параметры!$B$6)</f>
        <v/>
      </c>
      <c r="Q14" s="9" t="str">
        <f aca="false">IF(M14="","",M14*Параметры!$B$10)</f>
        <v/>
      </c>
      <c r="R14" s="9" t="str">
        <f aca="false">IF(M14="","",Параметры!$B$7)</f>
        <v/>
      </c>
      <c r="S14" s="9" t="str">
        <f aca="false">IF(I14="","",I14*Параметры!$B$8)</f>
        <v/>
      </c>
      <c r="T14" s="9" t="str">
        <f aca="false">IF(M14="","",Параметры!$B$18)</f>
        <v/>
      </c>
      <c r="U14" s="11" t="str">
        <f aca="false">IF(M14="","",M14-L14-P14-R14-S14-T14)</f>
        <v/>
      </c>
      <c r="V14" s="11" t="str">
        <f aca="false">IF(M14="","",M14-L14-Q14-R14-S14-T14-Параметры!$B$11)</f>
        <v/>
      </c>
      <c r="W14" s="13" t="str">
        <f aca="false">IF(U14="","",U14/M14)</f>
        <v/>
      </c>
      <c r="X14" s="14" t="s">
        <v>46</v>
      </c>
    </row>
    <row r="15" customFormat="false" ht="15" hidden="false" customHeight="false" outlineLevel="0" collapsed="false">
      <c r="A15" s="6" t="s">
        <v>106</v>
      </c>
      <c r="B15" s="7" t="s">
        <v>39</v>
      </c>
      <c r="C15" s="7" t="s">
        <v>107</v>
      </c>
      <c r="D15" s="7" t="s">
        <v>108</v>
      </c>
      <c r="E15" s="7" t="s">
        <v>109</v>
      </c>
      <c r="F15" s="7" t="s">
        <v>43</v>
      </c>
      <c r="G15" s="8" t="s">
        <v>110</v>
      </c>
      <c r="H15" s="7" t="s">
        <v>111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IF(I15="","",CEILING((I15*(1+Параметры!$B$8*Параметры!$B$9)+K15)*(1+Параметры!$B$2),Параметры!$B$4)-Параметры!$B$5)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IF(M15="","",M15*Параметры!$B$6)</f>
        <v/>
      </c>
      <c r="Q15" s="9" t="str">
        <f aca="false">IF(M15="","",M15*Параметры!$B$10)</f>
        <v/>
      </c>
      <c r="R15" s="9" t="str">
        <f aca="false">IF(M15="","",Параметры!$B$7)</f>
        <v/>
      </c>
      <c r="S15" s="9" t="str">
        <f aca="false">IF(I15="","",I15*Параметры!$B$8)</f>
        <v/>
      </c>
      <c r="T15" s="9" t="str">
        <f aca="false">IF(M15="","",Параметры!$B$18)</f>
        <v/>
      </c>
      <c r="U15" s="11" t="str">
        <f aca="false">IF(M15="","",M15-L15-P15-R15-S15-T15)</f>
        <v/>
      </c>
      <c r="V15" s="11" t="str">
        <f aca="false">IF(M15="","",M15-L15-Q15-R15-S15-T15-Параметры!$B$11)</f>
        <v/>
      </c>
      <c r="W15" s="13" t="str">
        <f aca="false">IF(U15="","",U15/M15)</f>
        <v/>
      </c>
      <c r="X15" s="14" t="s">
        <v>46</v>
      </c>
    </row>
    <row r="16" customFormat="false" ht="15" hidden="false" customHeight="false" outlineLevel="0" collapsed="false">
      <c r="A16" s="6" t="s">
        <v>112</v>
      </c>
      <c r="B16" s="7" t="s">
        <v>113</v>
      </c>
      <c r="C16" s="7" t="s">
        <v>40</v>
      </c>
      <c r="D16" s="7" t="s">
        <v>41</v>
      </c>
      <c r="E16" s="7" t="s">
        <v>42</v>
      </c>
      <c r="F16" s="7" t="s">
        <v>43</v>
      </c>
      <c r="G16" s="8" t="s">
        <v>114</v>
      </c>
      <c r="H16" s="7" t="s">
        <v>115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IF(I16="","",CEILING((I16*(1+Параметры!$B$8*Параметры!$B$9)+K16)*(1+Параметры!$B$2),Параметры!$B$4)-Параметры!$B$5)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IF(M16="","",M16*Параметры!$B$6)</f>
        <v/>
      </c>
      <c r="Q16" s="9" t="str">
        <f aca="false">IF(M16="","",M16*Параметры!$B$10)</f>
        <v/>
      </c>
      <c r="R16" s="9" t="str">
        <f aca="false">IF(M16="","",Параметры!$B$7)</f>
        <v/>
      </c>
      <c r="S16" s="9" t="str">
        <f aca="false">IF(I16="","",I16*Параметры!$B$8)</f>
        <v/>
      </c>
      <c r="T16" s="9" t="str">
        <f aca="false">IF(M16="","",Параметры!$B$18)</f>
        <v/>
      </c>
      <c r="U16" s="11" t="str">
        <f aca="false">IF(M16="","",M16-L16-P16-R16-S16-T16)</f>
        <v/>
      </c>
      <c r="V16" s="11" t="str">
        <f aca="false">IF(M16="","",M16-L16-Q16-R16-S16-T16-Параметры!$B$11)</f>
        <v/>
      </c>
      <c r="W16" s="13" t="str">
        <f aca="false">IF(U16="","",U16/M16)</f>
        <v/>
      </c>
      <c r="X16" s="14" t="s">
        <v>46</v>
      </c>
    </row>
    <row r="17" customFormat="false" ht="15" hidden="false" customHeight="false" outlineLevel="0" collapsed="false">
      <c r="A17" s="6" t="s">
        <v>116</v>
      </c>
      <c r="B17" s="7" t="s">
        <v>113</v>
      </c>
      <c r="C17" s="7" t="s">
        <v>48</v>
      </c>
      <c r="D17" s="7" t="s">
        <v>49</v>
      </c>
      <c r="E17" s="7" t="s">
        <v>42</v>
      </c>
      <c r="F17" s="7" t="s">
        <v>43</v>
      </c>
      <c r="G17" s="8" t="s">
        <v>117</v>
      </c>
      <c r="H17" s="7" t="s">
        <v>118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IF(I17="","",CEILING((I17*(1+Параметры!$B$8*Параметры!$B$9)+K17)*(1+Параметры!$B$2),Параметры!$B$4)-Параметры!$B$5)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IF(M17="","",M17*Параметры!$B$6)</f>
        <v/>
      </c>
      <c r="Q17" s="9" t="str">
        <f aca="false">IF(M17="","",M17*Параметры!$B$10)</f>
        <v/>
      </c>
      <c r="R17" s="9" t="str">
        <f aca="false">IF(M17="","",Параметры!$B$7)</f>
        <v/>
      </c>
      <c r="S17" s="9" t="str">
        <f aca="false">IF(I17="","",I17*Параметры!$B$8)</f>
        <v/>
      </c>
      <c r="T17" s="9" t="str">
        <f aca="false">IF(M17="","",Параметры!$B$18)</f>
        <v/>
      </c>
      <c r="U17" s="11" t="str">
        <f aca="false">IF(M17="","",M17-L17-P17-R17-S17-T17)</f>
        <v/>
      </c>
      <c r="V17" s="11" t="str">
        <f aca="false">IF(M17="","",M17-L17-Q17-R17-S17-T17-Параметры!$B$11)</f>
        <v/>
      </c>
      <c r="W17" s="13" t="str">
        <f aca="false">IF(U17="","",U17/M17)</f>
        <v/>
      </c>
      <c r="X17" s="14" t="s">
        <v>46</v>
      </c>
    </row>
    <row r="18" customFormat="false" ht="15" hidden="false" customHeight="false" outlineLevel="0" collapsed="false">
      <c r="A18" s="6" t="s">
        <v>119</v>
      </c>
      <c r="B18" s="7" t="s">
        <v>113</v>
      </c>
      <c r="C18" s="7" t="s">
        <v>53</v>
      </c>
      <c r="D18" s="7" t="s">
        <v>41</v>
      </c>
      <c r="E18" s="7" t="s">
        <v>42</v>
      </c>
      <c r="F18" s="7" t="s">
        <v>43</v>
      </c>
      <c r="G18" s="8" t="s">
        <v>120</v>
      </c>
      <c r="H18" s="7" t="s">
        <v>121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IF(I18="","",CEILING((I18*(1+Параметры!$B$8*Параметры!$B$9)+K18)*(1+Параметры!$B$2),Параметры!$B$4)-Параметры!$B$5)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IF(M18="","",M18*Параметры!$B$6)</f>
        <v/>
      </c>
      <c r="Q18" s="9" t="str">
        <f aca="false">IF(M18="","",M18*Параметры!$B$10)</f>
        <v/>
      </c>
      <c r="R18" s="9" t="str">
        <f aca="false">IF(M18="","",Параметры!$B$7)</f>
        <v/>
      </c>
      <c r="S18" s="9" t="str">
        <f aca="false">IF(I18="","",I18*Параметры!$B$8)</f>
        <v/>
      </c>
      <c r="T18" s="9" t="str">
        <f aca="false">IF(M18="","",Параметры!$B$18)</f>
        <v/>
      </c>
      <c r="U18" s="11" t="str">
        <f aca="false">IF(M18="","",M18-L18-P18-R18-S18-T18)</f>
        <v/>
      </c>
      <c r="V18" s="11" t="str">
        <f aca="false">IF(M18="","",M18-L18-Q18-R18-S18-T18-Параметры!$B$11)</f>
        <v/>
      </c>
      <c r="W18" s="13" t="str">
        <f aca="false">IF(U18="","",U18/M18)</f>
        <v/>
      </c>
      <c r="X18" s="14" t="s">
        <v>46</v>
      </c>
    </row>
    <row r="19" customFormat="false" ht="15" hidden="false" customHeight="false" outlineLevel="0" collapsed="false">
      <c r="A19" s="6" t="s">
        <v>122</v>
      </c>
      <c r="B19" s="7" t="s">
        <v>113</v>
      </c>
      <c r="C19" s="7" t="s">
        <v>57</v>
      </c>
      <c r="D19" s="7" t="s">
        <v>49</v>
      </c>
      <c r="E19" s="7" t="s">
        <v>42</v>
      </c>
      <c r="F19" s="7" t="s">
        <v>43</v>
      </c>
      <c r="G19" s="8" t="s">
        <v>123</v>
      </c>
      <c r="H19" s="7" t="s">
        <v>124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IF(I19="","",CEILING((I19*(1+Параметры!$B$8*Параметры!$B$9)+K19)*(1+Параметры!$B$2),Параметры!$B$4)-Параметры!$B$5)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IF(M19="","",M19*Параметры!$B$6)</f>
        <v/>
      </c>
      <c r="Q19" s="9" t="str">
        <f aca="false">IF(M19="","",M19*Параметры!$B$10)</f>
        <v/>
      </c>
      <c r="R19" s="9" t="str">
        <f aca="false">IF(M19="","",Параметры!$B$7)</f>
        <v/>
      </c>
      <c r="S19" s="9" t="str">
        <f aca="false">IF(I19="","",I19*Параметры!$B$8)</f>
        <v/>
      </c>
      <c r="T19" s="9" t="str">
        <f aca="false">IF(M19="","",Параметры!$B$18)</f>
        <v/>
      </c>
      <c r="U19" s="11" t="str">
        <f aca="false">IF(M19="","",M19-L19-P19-R19-S19-T19)</f>
        <v/>
      </c>
      <c r="V19" s="11" t="str">
        <f aca="false">IF(M19="","",M19-L19-Q19-R19-S19-T19-Параметры!$B$11)</f>
        <v/>
      </c>
      <c r="W19" s="13" t="str">
        <f aca="false">IF(U19="","",U19/M19)</f>
        <v/>
      </c>
      <c r="X19" s="14" t="s">
        <v>46</v>
      </c>
    </row>
    <row r="20" customFormat="false" ht="15" hidden="false" customHeight="false" outlineLevel="0" collapsed="false">
      <c r="A20" s="6" t="s">
        <v>125</v>
      </c>
      <c r="B20" s="7" t="s">
        <v>113</v>
      </c>
      <c r="C20" s="7" t="s">
        <v>61</v>
      </c>
      <c r="D20" s="7" t="s">
        <v>62</v>
      </c>
      <c r="E20" s="7" t="s">
        <v>42</v>
      </c>
      <c r="F20" s="7" t="s">
        <v>126</v>
      </c>
      <c r="G20" s="8" t="s">
        <v>127</v>
      </c>
      <c r="H20" s="7" t="s">
        <v>128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IF(I20="","",CEILING((I20*(1+Параметры!$B$8*Параметры!$B$9)+K20)*(1+Параметры!$B$2),Параметры!$B$4)-Параметры!$B$5)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IF(M20="","",M20*Параметры!$B$6)</f>
        <v/>
      </c>
      <c r="Q20" s="9" t="str">
        <f aca="false">IF(M20="","",M20*Параметры!$B$10)</f>
        <v/>
      </c>
      <c r="R20" s="9" t="str">
        <f aca="false">IF(M20="","",Параметры!$B$7)</f>
        <v/>
      </c>
      <c r="S20" s="9" t="str">
        <f aca="false">IF(I20="","",I20*Параметры!$B$8)</f>
        <v/>
      </c>
      <c r="T20" s="9" t="str">
        <f aca="false">IF(M20="","",Параметры!$B$18)</f>
        <v/>
      </c>
      <c r="U20" s="11" t="str">
        <f aca="false">IF(M20="","",M20-L20-P20-R20-S20-T20)</f>
        <v/>
      </c>
      <c r="V20" s="11" t="str">
        <f aca="false">IF(M20="","",M20-L20-Q20-R20-S20-T20-Параметры!$B$11)</f>
        <v/>
      </c>
      <c r="W20" s="13" t="str">
        <f aca="false">IF(U20="","",U20/M20)</f>
        <v/>
      </c>
      <c r="X20" s="14" t="s">
        <v>46</v>
      </c>
    </row>
    <row r="21" customFormat="false" ht="15" hidden="false" customHeight="false" outlineLevel="0" collapsed="false">
      <c r="A21" s="6" t="s">
        <v>129</v>
      </c>
      <c r="B21" s="7" t="s">
        <v>113</v>
      </c>
      <c r="C21" s="7" t="s">
        <v>66</v>
      </c>
      <c r="D21" s="7" t="s">
        <v>67</v>
      </c>
      <c r="E21" s="7" t="s">
        <v>68</v>
      </c>
      <c r="F21" s="7" t="s">
        <v>43</v>
      </c>
      <c r="G21" s="8" t="s">
        <v>130</v>
      </c>
      <c r="H21" s="7" t="s">
        <v>131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IF(I21="","",CEILING((I21*(1+Параметры!$B$8*Параметры!$B$9)+K21)*(1+Параметры!$B$2),Параметры!$B$4)-Параметры!$B$5)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IF(M21="","",M21*Параметры!$B$6)</f>
        <v/>
      </c>
      <c r="Q21" s="9" t="str">
        <f aca="false">IF(M21="","",M21*Параметры!$B$10)</f>
        <v/>
      </c>
      <c r="R21" s="9" t="str">
        <f aca="false">IF(M21="","",Параметры!$B$7)</f>
        <v/>
      </c>
      <c r="S21" s="9" t="str">
        <f aca="false">IF(I21="","",I21*Параметры!$B$8)</f>
        <v/>
      </c>
      <c r="T21" s="9" t="str">
        <f aca="false">IF(M21="","",Параметры!$B$18)</f>
        <v/>
      </c>
      <c r="U21" s="11" t="str">
        <f aca="false">IF(M21="","",M21-L21-P21-R21-S21-T21)</f>
        <v/>
      </c>
      <c r="V21" s="11" t="str">
        <f aca="false">IF(M21="","",M21-L21-Q21-R21-S21-T21-Параметры!$B$11)</f>
        <v/>
      </c>
      <c r="W21" s="13" t="str">
        <f aca="false">IF(U21="","",U21/M21)</f>
        <v/>
      </c>
      <c r="X21" s="14" t="s">
        <v>46</v>
      </c>
    </row>
    <row r="22" customFormat="false" ht="15" hidden="false" customHeight="false" outlineLevel="0" collapsed="false">
      <c r="A22" s="6" t="s">
        <v>132</v>
      </c>
      <c r="B22" s="7" t="s">
        <v>113</v>
      </c>
      <c r="C22" s="7" t="s">
        <v>72</v>
      </c>
      <c r="D22" s="7" t="s">
        <v>73</v>
      </c>
      <c r="E22" s="7" t="s">
        <v>42</v>
      </c>
      <c r="F22" s="7" t="s">
        <v>126</v>
      </c>
      <c r="G22" s="8" t="s">
        <v>133</v>
      </c>
      <c r="H22" s="7" t="s">
        <v>134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IF(I22="","",CEILING((I22*(1+Параметры!$B$8*Параметры!$B$9)+K22)*(1+Параметры!$B$2),Параметры!$B$4)-Параметры!$B$5)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IF(M22="","",M22*Параметры!$B$6)</f>
        <v/>
      </c>
      <c r="Q22" s="9" t="str">
        <f aca="false">IF(M22="","",M22*Параметры!$B$10)</f>
        <v/>
      </c>
      <c r="R22" s="9" t="str">
        <f aca="false">IF(M22="","",Параметры!$B$7)</f>
        <v/>
      </c>
      <c r="S22" s="9" t="str">
        <f aca="false">IF(I22="","",I22*Параметры!$B$8)</f>
        <v/>
      </c>
      <c r="T22" s="9" t="str">
        <f aca="false">IF(M22="","",Параметры!$B$18)</f>
        <v/>
      </c>
      <c r="U22" s="11" t="str">
        <f aca="false">IF(M22="","",M22-L22-P22-R22-S22-T22)</f>
        <v/>
      </c>
      <c r="V22" s="11" t="str">
        <f aca="false">IF(M22="","",M22-L22-Q22-R22-S22-T22-Параметры!$B$11)</f>
        <v/>
      </c>
      <c r="W22" s="13" t="str">
        <f aca="false">IF(U22="","",U22/M22)</f>
        <v/>
      </c>
      <c r="X22" s="14" t="s">
        <v>46</v>
      </c>
    </row>
    <row r="23" customFormat="false" ht="15" hidden="false" customHeight="false" outlineLevel="0" collapsed="false">
      <c r="A23" s="6" t="s">
        <v>135</v>
      </c>
      <c r="B23" s="7" t="s">
        <v>113</v>
      </c>
      <c r="C23" s="7" t="s">
        <v>77</v>
      </c>
      <c r="D23" s="7" t="s">
        <v>78</v>
      </c>
      <c r="E23" s="7" t="s">
        <v>42</v>
      </c>
      <c r="F23" s="7" t="s">
        <v>43</v>
      </c>
      <c r="G23" s="8" t="s">
        <v>136</v>
      </c>
      <c r="H23" s="7" t="s">
        <v>137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IF(I23="","",CEILING((I23*(1+Параметры!$B$8*Параметры!$B$9)+K23)*(1+Параметры!$B$2),Параметры!$B$4)-Параметры!$B$5)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IF(M23="","",M23*Параметры!$B$6)</f>
        <v/>
      </c>
      <c r="Q23" s="9" t="str">
        <f aca="false">IF(M23="","",M23*Параметры!$B$10)</f>
        <v/>
      </c>
      <c r="R23" s="9" t="str">
        <f aca="false">IF(M23="","",Параметры!$B$7)</f>
        <v/>
      </c>
      <c r="S23" s="9" t="str">
        <f aca="false">IF(I23="","",I23*Параметры!$B$8)</f>
        <v/>
      </c>
      <c r="T23" s="9" t="str">
        <f aca="false">IF(M23="","",Параметры!$B$18)</f>
        <v/>
      </c>
      <c r="U23" s="11" t="str">
        <f aca="false">IF(M23="","",M23-L23-P23-R23-S23-T23)</f>
        <v/>
      </c>
      <c r="V23" s="11" t="str">
        <f aca="false">IF(M23="","",M23-L23-Q23-R23-S23-T23-Параметры!$B$11)</f>
        <v/>
      </c>
      <c r="W23" s="13" t="str">
        <f aca="false">IF(U23="","",U23/M23)</f>
        <v/>
      </c>
      <c r="X23" s="14" t="s">
        <v>46</v>
      </c>
    </row>
    <row r="24" customFormat="false" ht="15" hidden="false" customHeight="false" outlineLevel="0" collapsed="false">
      <c r="A24" s="6" t="s">
        <v>138</v>
      </c>
      <c r="B24" s="7" t="s">
        <v>113</v>
      </c>
      <c r="C24" s="7" t="s">
        <v>82</v>
      </c>
      <c r="D24" s="7" t="s">
        <v>83</v>
      </c>
      <c r="E24" s="7" t="s">
        <v>42</v>
      </c>
      <c r="F24" s="7" t="s">
        <v>126</v>
      </c>
      <c r="G24" s="8" t="s">
        <v>139</v>
      </c>
      <c r="H24" s="7" t="s">
        <v>140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IF(I24="","",CEILING((I24*(1+Параметры!$B$8*Параметры!$B$9)+K24)*(1+Параметры!$B$2),Параметры!$B$4)-Параметры!$B$5)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IF(M24="","",M24*Параметры!$B$6)</f>
        <v/>
      </c>
      <c r="Q24" s="9" t="str">
        <f aca="false">IF(M24="","",M24*Параметры!$B$10)</f>
        <v/>
      </c>
      <c r="R24" s="9" t="str">
        <f aca="false">IF(M24="","",Параметры!$B$7)</f>
        <v/>
      </c>
      <c r="S24" s="9" t="str">
        <f aca="false">IF(I24="","",I24*Параметры!$B$8)</f>
        <v/>
      </c>
      <c r="T24" s="9" t="str">
        <f aca="false">IF(M24="","",Параметры!$B$18)</f>
        <v/>
      </c>
      <c r="U24" s="11" t="str">
        <f aca="false">IF(M24="","",M24-L24-P24-R24-S24-T24)</f>
        <v/>
      </c>
      <c r="V24" s="11" t="str">
        <f aca="false">IF(M24="","",M24-L24-Q24-R24-S24-T24-Параметры!$B$11)</f>
        <v/>
      </c>
      <c r="W24" s="13" t="str">
        <f aca="false">IF(U24="","",U24/M24)</f>
        <v/>
      </c>
      <c r="X24" s="14" t="s">
        <v>46</v>
      </c>
    </row>
    <row r="25" customFormat="false" ht="15" hidden="false" customHeight="false" outlineLevel="0" collapsed="false">
      <c r="A25" s="6" t="s">
        <v>141</v>
      </c>
      <c r="B25" s="7" t="s">
        <v>113</v>
      </c>
      <c r="C25" s="7" t="s">
        <v>142</v>
      </c>
      <c r="D25" s="7" t="s">
        <v>88</v>
      </c>
      <c r="E25" s="7" t="s">
        <v>42</v>
      </c>
      <c r="F25" s="7" t="s">
        <v>143</v>
      </c>
      <c r="G25" s="8" t="s">
        <v>144</v>
      </c>
      <c r="H25" s="7" t="s">
        <v>145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IF(I25="","",CEILING((I25*(1+Параметры!$B$8*Параметры!$B$9)+K25)*(1+Параметры!$B$2),Параметры!$B$4)-Параметры!$B$5)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IF(M25="","",M25*Параметры!$B$6)</f>
        <v/>
      </c>
      <c r="Q25" s="9" t="str">
        <f aca="false">IF(M25="","",M25*Параметры!$B$10)</f>
        <v/>
      </c>
      <c r="R25" s="9" t="str">
        <f aca="false">IF(M25="","",Параметры!$B$7)</f>
        <v/>
      </c>
      <c r="S25" s="9" t="str">
        <f aca="false">IF(I25="","",I25*Параметры!$B$8)</f>
        <v/>
      </c>
      <c r="T25" s="9" t="str">
        <f aca="false">IF(M25="","",Параметры!$B$18)</f>
        <v/>
      </c>
      <c r="U25" s="11" t="str">
        <f aca="false">IF(M25="","",M25-L25-P25-R25-S25-T25)</f>
        <v/>
      </c>
      <c r="V25" s="11" t="str">
        <f aca="false">IF(M25="","",M25-L25-Q25-R25-S25-T25-Параметры!$B$11)</f>
        <v/>
      </c>
      <c r="W25" s="13" t="str">
        <f aca="false">IF(U25="","",U25/M25)</f>
        <v/>
      </c>
      <c r="X25" s="14" t="s">
        <v>46</v>
      </c>
    </row>
    <row r="26" customFormat="false" ht="15" hidden="false" customHeight="false" outlineLevel="0" collapsed="false">
      <c r="A26" s="6" t="s">
        <v>146</v>
      </c>
      <c r="B26" s="7" t="s">
        <v>113</v>
      </c>
      <c r="C26" s="7" t="s">
        <v>96</v>
      </c>
      <c r="D26" s="7" t="s">
        <v>97</v>
      </c>
      <c r="E26" s="7" t="s">
        <v>98</v>
      </c>
      <c r="F26" s="7" t="s">
        <v>43</v>
      </c>
      <c r="G26" s="8" t="s">
        <v>147</v>
      </c>
      <c r="H26" s="7" t="s">
        <v>148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IF(I26="","",CEILING((I26*(1+Параметры!$B$8*Параметры!$B$9)+K26)*(1+Параметры!$B$2),Параметры!$B$4)-Параметры!$B$5)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IF(M26="","",M26*Параметры!$B$6)</f>
        <v/>
      </c>
      <c r="Q26" s="9" t="str">
        <f aca="false">IF(M26="","",M26*Параметры!$B$10)</f>
        <v/>
      </c>
      <c r="R26" s="9" t="str">
        <f aca="false">IF(M26="","",Параметры!$B$7)</f>
        <v/>
      </c>
      <c r="S26" s="9" t="str">
        <f aca="false">IF(I26="","",I26*Параметры!$B$8)</f>
        <v/>
      </c>
      <c r="T26" s="9" t="str">
        <f aca="false">IF(M26="","",Параметры!$B$18)</f>
        <v/>
      </c>
      <c r="U26" s="11" t="str">
        <f aca="false">IF(M26="","",M26-L26-P26-R26-S26-T26)</f>
        <v/>
      </c>
      <c r="V26" s="11" t="str">
        <f aca="false">IF(M26="","",M26-L26-Q26-R26-S26-T26-Параметры!$B$11)</f>
        <v/>
      </c>
      <c r="W26" s="13" t="str">
        <f aca="false">IF(U26="","",U26/M26)</f>
        <v/>
      </c>
      <c r="X26" s="14" t="s">
        <v>46</v>
      </c>
    </row>
  </sheetData>
  <conditionalFormatting sqref="J2:J26">
    <cfRule type="cellIs" priority="2" operator="greaterThan" aboveAverage="0" equalAverage="0" bottom="0" percent="0" rank="0" text="" dxfId="0">
      <formula>0</formula>
    </cfRule>
  </conditionalFormatting>
  <conditionalFormatting sqref="O2:O26">
    <cfRule type="cellIs" priority="3" operator="equal" aboveAverage="0" equalAverage="0" bottom="0" percent="0" rank="0" text="" dxfId="1">
      <formula>"дороже рынка"</formula>
    </cfRule>
  </conditionalFormatting>
  <conditionalFormatting sqref="U2:U26">
    <cfRule type="cellIs" priority="4" operator="lessThan" aboveAverage="0" equalAverage="0" bottom="0" percent="0" rank="0" text="" dxfId="2">
      <formula>0</formula>
    </cfRule>
  </conditionalFormatting>
  <conditionalFormatting sqref="V2:V26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6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2" min="11" style="0" width="13"/>
  </cols>
  <sheetData>
    <row r="1" customFormat="false" ht="17.35" hidden="false" customHeight="false" outlineLevel="0" collapsed="false">
      <c r="A1" s="1" t="s">
        <v>149</v>
      </c>
    </row>
    <row r="3" customFormat="false" ht="15" hidden="false" customHeight="true" outlineLevel="0" collapsed="false">
      <c r="A3" s="7" t="s">
        <v>150</v>
      </c>
      <c r="B3" s="12" t="n">
        <v>4490</v>
      </c>
      <c r="C3" s="8" t="s">
        <v>151</v>
      </c>
      <c r="D3" s="8"/>
      <c r="E3" s="8"/>
      <c r="F3" s="8"/>
      <c r="G3" s="8"/>
      <c r="H3" s="8"/>
      <c r="I3" s="8"/>
      <c r="J3" s="8"/>
    </row>
    <row r="4" customFormat="false" ht="15" hidden="false" customHeight="true" outlineLevel="0" collapsed="false">
      <c r="A4" s="7" t="s">
        <v>152</v>
      </c>
      <c r="B4" s="12" t="n">
        <v>3365</v>
      </c>
      <c r="C4" s="8" t="s">
        <v>153</v>
      </c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7" t="s">
        <v>154</v>
      </c>
      <c r="B5" s="15" t="n">
        <v>0.5</v>
      </c>
      <c r="C5" s="8" t="s">
        <v>155</v>
      </c>
      <c r="D5" s="8"/>
      <c r="E5" s="8"/>
      <c r="F5" s="8"/>
      <c r="G5" s="8"/>
      <c r="H5" s="8"/>
      <c r="I5" s="8"/>
      <c r="J5" s="8"/>
    </row>
    <row r="6" customFormat="false" ht="15" hidden="false" customHeight="false" outlineLevel="0" collapsed="false">
      <c r="A6" s="7" t="s">
        <v>156</v>
      </c>
      <c r="B6" s="9" t="str">
        <f aca="false">IFERROR(AVERAGEIF(Киты!$M:$M,"&gt;0"),"")</f>
        <v/>
      </c>
    </row>
    <row r="7" customFormat="false" ht="15" hidden="false" customHeight="false" outlineLevel="0" collapsed="false">
      <c r="A7" s="7" t="s">
        <v>157</v>
      </c>
      <c r="B7" s="9" t="str">
        <f aca="false">IFERROR(AVERAGEIF(Киты!$I:$I,"&gt;0"),"")</f>
        <v/>
      </c>
    </row>
    <row r="8" customFormat="false" ht="15" hidden="false" customHeight="true" outlineLevel="0" collapsed="false">
      <c r="A8" s="7" t="s">
        <v>158</v>
      </c>
      <c r="B8" s="9" t="n">
        <f aca="false">(Параметры!$B$12+Параметры!$B$13+Параметры!$B$14+Параметры!$B$15+Параметры!$B$16)</f>
        <v>6783</v>
      </c>
      <c r="C8" s="8" t="s">
        <v>159</v>
      </c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7" t="s">
        <v>160</v>
      </c>
      <c r="B9" s="9" t="n">
        <f aca="false">B3-(B4+Параметры!$B$3)-B5*B3*Параметры!$B$6-(1-B5)*(B3*Параметры!$B$10+Параметры!$B$11)-Параметры!$B$7-B4*Параметры!$B$8</f>
        <v>565.11</v>
      </c>
    </row>
    <row r="10" customFormat="false" ht="15" hidden="false" customHeight="false" outlineLevel="0" collapsed="false">
      <c r="A10" s="6" t="s">
        <v>161</v>
      </c>
      <c r="B10" s="6" t="n">
        <f aca="false">IF(B9&lt;=0,"не окупается",ROUNDUP(B8/B9,0))</f>
        <v>13</v>
      </c>
    </row>
    <row r="12" customFormat="false" ht="43.5" hidden="false" customHeight="true" outlineLevel="0" collapsed="false">
      <c r="A12" s="5" t="s">
        <v>162</v>
      </c>
      <c r="B12" s="5" t="s">
        <v>163</v>
      </c>
      <c r="C12" s="5" t="s">
        <v>164</v>
      </c>
      <c r="D12" s="5" t="s">
        <v>29</v>
      </c>
      <c r="E12" s="5" t="s">
        <v>30</v>
      </c>
      <c r="F12" s="5" t="s">
        <v>31</v>
      </c>
      <c r="G12" s="5" t="s">
        <v>32</v>
      </c>
      <c r="H12" s="5" t="s">
        <v>165</v>
      </c>
      <c r="I12" s="5" t="s">
        <v>166</v>
      </c>
      <c r="J12" s="5" t="s">
        <v>167</v>
      </c>
      <c r="K12" s="5" t="s">
        <v>168</v>
      </c>
    </row>
    <row r="13" customFormat="false" ht="15" hidden="false" customHeight="false" outlineLevel="0" collapsed="false">
      <c r="A13" s="16" t="n">
        <v>10</v>
      </c>
      <c r="B13" s="9" t="n">
        <f aca="false">A13*$B$3</f>
        <v>44900</v>
      </c>
      <c r="C13" s="9" t="n">
        <f aca="false">A13*($B$4+Параметры!$B$3)</f>
        <v>34150</v>
      </c>
      <c r="D13" s="9" t="n">
        <f aca="false">A13*$B$5*$B$3*Параметры!$B$6</f>
        <v>1459.25</v>
      </c>
      <c r="E13" s="9" t="n">
        <f aca="false">A13*(1-$B$5)*$B$3*Параметры!$B$10</f>
        <v>157.15</v>
      </c>
      <c r="F13" s="9" t="n">
        <f aca="false">A13*Параметры!$B$7</f>
        <v>1800</v>
      </c>
      <c r="G13" s="9" t="n">
        <f aca="false">A13*$B$4*Параметры!$B$8</f>
        <v>1682.5</v>
      </c>
      <c r="H13" s="9" t="n">
        <f aca="false">A13*(1-$B$5)*Параметры!$B$11</f>
        <v>0</v>
      </c>
      <c r="I13" s="9" t="n">
        <f aca="false">$B$8</f>
        <v>6783</v>
      </c>
      <c r="J13" s="11" t="n">
        <f aca="false">B13-SUM(C13:I13)</f>
        <v>-1131.9</v>
      </c>
      <c r="K13" s="9" t="n">
        <f aca="false">IF(A13=0,"",J13/A13)</f>
        <v>-113.19</v>
      </c>
    </row>
    <row r="14" customFormat="false" ht="15" hidden="false" customHeight="false" outlineLevel="0" collapsed="false">
      <c r="A14" s="16" t="n">
        <v>20</v>
      </c>
      <c r="B14" s="9" t="n">
        <f aca="false">A14*$B$3</f>
        <v>89800</v>
      </c>
      <c r="C14" s="9" t="n">
        <f aca="false">A14*($B$4+Параметры!$B$3)</f>
        <v>68300</v>
      </c>
      <c r="D14" s="9" t="n">
        <f aca="false">A14*$B$5*$B$3*Параметры!$B$6</f>
        <v>2918.5</v>
      </c>
      <c r="E14" s="9" t="n">
        <f aca="false">A14*(1-$B$5)*$B$3*Параметры!$B$10</f>
        <v>314.3</v>
      </c>
      <c r="F14" s="9" t="n">
        <f aca="false">A14*Параметры!$B$7</f>
        <v>3600</v>
      </c>
      <c r="G14" s="9" t="n">
        <f aca="false">A14*$B$4*Параметры!$B$8</f>
        <v>3365</v>
      </c>
      <c r="H14" s="9" t="n">
        <f aca="false">A14*(1-$B$5)*Параметры!$B$11</f>
        <v>0</v>
      </c>
      <c r="I14" s="9" t="n">
        <f aca="false">$B$8</f>
        <v>6783</v>
      </c>
      <c r="J14" s="11" t="n">
        <f aca="false">B14-SUM(C14:I14)</f>
        <v>4519.2</v>
      </c>
      <c r="K14" s="9" t="n">
        <f aca="false">IF(A14=0,"",J14/A14)</f>
        <v>225.96</v>
      </c>
    </row>
    <row r="15" customFormat="false" ht="15" hidden="false" customHeight="false" outlineLevel="0" collapsed="false">
      <c r="A15" s="16" t="n">
        <v>30</v>
      </c>
      <c r="B15" s="9" t="n">
        <f aca="false">A15*$B$3</f>
        <v>134700</v>
      </c>
      <c r="C15" s="9" t="n">
        <f aca="false">A15*($B$4+Параметры!$B$3)</f>
        <v>102450</v>
      </c>
      <c r="D15" s="9" t="n">
        <f aca="false">A15*$B$5*$B$3*Параметры!$B$6</f>
        <v>4377.75</v>
      </c>
      <c r="E15" s="9" t="n">
        <f aca="false">A15*(1-$B$5)*$B$3*Параметры!$B$10</f>
        <v>471.45</v>
      </c>
      <c r="F15" s="9" t="n">
        <f aca="false">A15*Параметры!$B$7</f>
        <v>5400</v>
      </c>
      <c r="G15" s="9" t="n">
        <f aca="false">A15*$B$4*Параметры!$B$8</f>
        <v>5047.5</v>
      </c>
      <c r="H15" s="9" t="n">
        <f aca="false">A15*(1-$B$5)*Параметры!$B$11</f>
        <v>0</v>
      </c>
      <c r="I15" s="9" t="n">
        <f aca="false">$B$8</f>
        <v>6783</v>
      </c>
      <c r="J15" s="11" t="n">
        <f aca="false">B15-SUM(C15:I15)</f>
        <v>10170.3</v>
      </c>
      <c r="K15" s="9" t="n">
        <f aca="false">IF(A15=0,"",J15/A15)</f>
        <v>339.01</v>
      </c>
    </row>
    <row r="16" customFormat="false" ht="15" hidden="false" customHeight="false" outlineLevel="0" collapsed="false">
      <c r="A16" s="16" t="n">
        <v>50</v>
      </c>
      <c r="B16" s="9" t="n">
        <f aca="false">A16*$B$3</f>
        <v>224500</v>
      </c>
      <c r="C16" s="9" t="n">
        <f aca="false">A16*($B$4+Параметры!$B$3)</f>
        <v>170750</v>
      </c>
      <c r="D16" s="9" t="n">
        <f aca="false">A16*$B$5*$B$3*Параметры!$B$6</f>
        <v>7296.25</v>
      </c>
      <c r="E16" s="9" t="n">
        <f aca="false">A16*(1-$B$5)*$B$3*Параметры!$B$10</f>
        <v>785.75</v>
      </c>
      <c r="F16" s="9" t="n">
        <f aca="false">A16*Параметры!$B$7</f>
        <v>9000</v>
      </c>
      <c r="G16" s="9" t="n">
        <f aca="false">A16*$B$4*Параметры!$B$8</f>
        <v>8412.5</v>
      </c>
      <c r="H16" s="9" t="n">
        <f aca="false">A16*(1-$B$5)*Параметры!$B$11</f>
        <v>0</v>
      </c>
      <c r="I16" s="9" t="n">
        <f aca="false">$B$8</f>
        <v>6783</v>
      </c>
      <c r="J16" s="11" t="n">
        <f aca="false">B16-SUM(C16:I16)</f>
        <v>21472.5</v>
      </c>
      <c r="K16" s="9" t="n">
        <f aca="false">IF(A16=0,"",J16/A16)</f>
        <v>429.45</v>
      </c>
    </row>
    <row r="17" customFormat="false" ht="15" hidden="false" customHeight="false" outlineLevel="0" collapsed="false">
      <c r="A17" s="16" t="n">
        <v>100</v>
      </c>
      <c r="B17" s="9" t="n">
        <f aca="false">A17*$B$3</f>
        <v>449000</v>
      </c>
      <c r="C17" s="9" t="n">
        <f aca="false">A17*($B$4+Параметры!$B$3)</f>
        <v>341500</v>
      </c>
      <c r="D17" s="9" t="n">
        <f aca="false">A17*$B$5*$B$3*Параметры!$B$6</f>
        <v>14592.5</v>
      </c>
      <c r="E17" s="9" t="n">
        <f aca="false">A17*(1-$B$5)*$B$3*Параметры!$B$10</f>
        <v>1571.5</v>
      </c>
      <c r="F17" s="9" t="n">
        <f aca="false">A17*Параметры!$B$7</f>
        <v>18000</v>
      </c>
      <c r="G17" s="9" t="n">
        <f aca="false">A17*$B$4*Параметры!$B$8</f>
        <v>16825</v>
      </c>
      <c r="H17" s="9" t="n">
        <f aca="false">A17*(1-$B$5)*Параметры!$B$11</f>
        <v>0</v>
      </c>
      <c r="I17" s="9" t="n">
        <f aca="false">$B$8</f>
        <v>6783</v>
      </c>
      <c r="J17" s="11" t="n">
        <f aca="false">B17-SUM(C17:I17)</f>
        <v>49728</v>
      </c>
      <c r="K17" s="9" t="n">
        <f aca="false">IF(A17=0,"",J17/A17)</f>
        <v>497.28</v>
      </c>
    </row>
    <row r="19" customFormat="false" ht="15" hidden="false" customHeight="false" outlineLevel="0" collapsed="false">
      <c r="A19" s="17" t="s">
        <v>169</v>
      </c>
    </row>
  </sheetData>
  <mergeCells count="4">
    <mergeCell ref="C3:J3"/>
    <mergeCell ref="C4:J4"/>
    <mergeCell ref="C5:J5"/>
    <mergeCell ref="C8:J8"/>
  </mergeCells>
  <conditionalFormatting sqref="J13:J17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170</v>
      </c>
      <c r="B1" s="5" t="s">
        <v>171</v>
      </c>
      <c r="C1" s="5" t="s">
        <v>172</v>
      </c>
    </row>
    <row r="2" customFormat="false" ht="15" hidden="false" customHeight="false" outlineLevel="0" collapsed="false">
      <c r="A2" s="7" t="s">
        <v>173</v>
      </c>
      <c r="B2" s="18" t="n">
        <v>0.3</v>
      </c>
      <c r="C2" s="8" t="s">
        <v>174</v>
      </c>
    </row>
    <row r="3" customFormat="false" ht="15" hidden="false" customHeight="false" outlineLevel="0" collapsed="false">
      <c r="A3" s="7" t="s">
        <v>175</v>
      </c>
      <c r="B3" s="12" t="n">
        <v>50</v>
      </c>
      <c r="C3" s="8" t="s">
        <v>176</v>
      </c>
    </row>
    <row r="4" customFormat="false" ht="15" hidden="false" customHeight="false" outlineLevel="0" collapsed="false">
      <c r="A4" s="7" t="s">
        <v>177</v>
      </c>
      <c r="B4" s="12" t="n">
        <v>100</v>
      </c>
      <c r="C4" s="8" t="s">
        <v>178</v>
      </c>
    </row>
    <row r="5" customFormat="false" ht="15" hidden="false" customHeight="false" outlineLevel="0" collapsed="false">
      <c r="A5" s="7" t="s">
        <v>179</v>
      </c>
      <c r="B5" s="12" t="n">
        <v>10</v>
      </c>
      <c r="C5" s="8" t="s">
        <v>180</v>
      </c>
    </row>
    <row r="6" customFormat="false" ht="15" hidden="false" customHeight="false" outlineLevel="0" collapsed="false">
      <c r="A6" s="7" t="s">
        <v>181</v>
      </c>
      <c r="B6" s="18" t="n">
        <v>0.065</v>
      </c>
      <c r="C6" s="8" t="s">
        <v>182</v>
      </c>
    </row>
    <row r="7" customFormat="false" ht="23.85" hidden="false" customHeight="false" outlineLevel="0" collapsed="false">
      <c r="A7" s="7" t="s">
        <v>183</v>
      </c>
      <c r="B7" s="12" t="n">
        <v>180</v>
      </c>
      <c r="C7" s="8" t="s">
        <v>184</v>
      </c>
    </row>
    <row r="8" customFormat="false" ht="15" hidden="false" customHeight="false" outlineLevel="0" collapsed="false">
      <c r="A8" s="7" t="s">
        <v>185</v>
      </c>
      <c r="B8" s="18" t="n">
        <v>0.05</v>
      </c>
      <c r="C8" s="8" t="s">
        <v>186</v>
      </c>
    </row>
    <row r="9" customFormat="false" ht="15" hidden="false" customHeight="false" outlineLevel="0" collapsed="false">
      <c r="A9" s="7" t="s">
        <v>187</v>
      </c>
      <c r="B9" s="19" t="n">
        <v>0</v>
      </c>
      <c r="C9" s="8" t="s">
        <v>188</v>
      </c>
    </row>
    <row r="10" customFormat="false" ht="23.85" hidden="false" customHeight="false" outlineLevel="0" collapsed="false">
      <c r="A10" s="7" t="s">
        <v>189</v>
      </c>
      <c r="B10" s="18" t="n">
        <v>0.007</v>
      </c>
      <c r="C10" s="8" t="s">
        <v>190</v>
      </c>
    </row>
    <row r="11" customFormat="false" ht="15" hidden="false" customHeight="false" outlineLevel="0" collapsed="false">
      <c r="A11" s="7" t="s">
        <v>191</v>
      </c>
      <c r="B11" s="12" t="n">
        <v>0</v>
      </c>
      <c r="C11" s="8" t="s">
        <v>192</v>
      </c>
    </row>
    <row r="12" customFormat="false" ht="15" hidden="false" customHeight="false" outlineLevel="0" collapsed="false">
      <c r="A12" s="7" t="s">
        <v>193</v>
      </c>
      <c r="B12" s="12" t="n">
        <v>4783</v>
      </c>
      <c r="C12" s="8" t="s">
        <v>194</v>
      </c>
    </row>
    <row r="13" customFormat="false" ht="15" hidden="false" customHeight="false" outlineLevel="0" collapsed="false">
      <c r="A13" s="7" t="s">
        <v>195</v>
      </c>
      <c r="B13" s="12" t="n">
        <v>1500</v>
      </c>
      <c r="C13" s="8" t="s">
        <v>196</v>
      </c>
    </row>
    <row r="14" customFormat="false" ht="15" hidden="false" customHeight="false" outlineLevel="0" collapsed="false">
      <c r="A14" s="7" t="s">
        <v>197</v>
      </c>
      <c r="B14" s="12" t="n">
        <v>0</v>
      </c>
      <c r="C14" s="8" t="s">
        <v>198</v>
      </c>
    </row>
    <row r="15" customFormat="false" ht="15" hidden="false" customHeight="false" outlineLevel="0" collapsed="false">
      <c r="A15" s="7" t="s">
        <v>199</v>
      </c>
      <c r="B15" s="12" t="n">
        <v>0</v>
      </c>
      <c r="C15" s="8" t="s">
        <v>200</v>
      </c>
    </row>
    <row r="16" customFormat="false" ht="15" hidden="false" customHeight="false" outlineLevel="0" collapsed="false">
      <c r="A16" s="7" t="s">
        <v>201</v>
      </c>
      <c r="B16" s="12" t="n">
        <v>500</v>
      </c>
      <c r="C16" s="8" t="s">
        <v>202</v>
      </c>
    </row>
    <row r="17" customFormat="false" ht="15" hidden="false" customHeight="false" outlineLevel="0" collapsed="false">
      <c r="A17" s="7" t="s">
        <v>203</v>
      </c>
      <c r="B17" s="19" t="n">
        <v>20</v>
      </c>
      <c r="C17" s="8" t="s">
        <v>204</v>
      </c>
    </row>
    <row r="18" customFormat="false" ht="15" hidden="false" customHeight="false" outlineLevel="0" collapsed="false">
      <c r="A18" s="6" t="s">
        <v>205</v>
      </c>
      <c r="B18" s="11" t="n">
        <f aca="false">($B$12+$B$13+$B$14+$B$15+$B$16)/MAX(1,$B$17)</f>
        <v>339.15</v>
      </c>
      <c r="C18" s="8" t="s">
        <v>206</v>
      </c>
    </row>
    <row r="20" customFormat="false" ht="15" hidden="false" customHeight="false" outlineLevel="0" collapsed="false">
      <c r="A20" s="17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14</v>
      </c>
      <c r="B1" s="5" t="s">
        <v>16</v>
      </c>
      <c r="C1" s="5" t="s">
        <v>208</v>
      </c>
      <c r="D1" s="5" t="s">
        <v>209</v>
      </c>
      <c r="E1" s="5" t="s">
        <v>210</v>
      </c>
      <c r="F1" s="5" t="s">
        <v>211</v>
      </c>
      <c r="G1" s="5" t="s">
        <v>212</v>
      </c>
      <c r="H1" s="5" t="s">
        <v>213</v>
      </c>
      <c r="I1" s="5" t="s">
        <v>214</v>
      </c>
      <c r="J1" s="5" t="s">
        <v>215</v>
      </c>
      <c r="K1" s="5" t="s">
        <v>216</v>
      </c>
      <c r="L1" s="5" t="s">
        <v>217</v>
      </c>
      <c r="M1" s="5" t="s">
        <v>218</v>
      </c>
      <c r="N1" s="5" t="s">
        <v>219</v>
      </c>
      <c r="O1" s="5" t="s">
        <v>220</v>
      </c>
      <c r="P1" s="5" t="s">
        <v>221</v>
      </c>
      <c r="Q1" s="5" t="s">
        <v>222</v>
      </c>
      <c r="R1" s="5" t="s">
        <v>223</v>
      </c>
      <c r="S1" s="5" t="s">
        <v>224</v>
      </c>
    </row>
    <row r="2" customFormat="false" ht="15" hidden="false" customHeight="false" outlineLevel="0" collapsed="false">
      <c r="A2" s="20" t="s">
        <v>225</v>
      </c>
      <c r="B2" s="20" t="s">
        <v>226</v>
      </c>
      <c r="C2" s="21" t="s">
        <v>227</v>
      </c>
      <c r="D2" s="22" t="n">
        <v>1</v>
      </c>
      <c r="E2" s="22" t="s">
        <v>228</v>
      </c>
      <c r="F2" s="22" t="s">
        <v>229</v>
      </c>
      <c r="G2" s="23" t="n">
        <v>460</v>
      </c>
      <c r="H2" s="23"/>
      <c r="I2" s="23" t="n">
        <v>445</v>
      </c>
      <c r="J2" s="23" t="n">
        <v>430</v>
      </c>
      <c r="K2" s="23"/>
      <c r="L2" s="23"/>
      <c r="M2" s="23"/>
      <c r="N2" s="23" t="n">
        <v>470</v>
      </c>
      <c r="O2" s="23"/>
      <c r="P2" s="24" t="n">
        <f aca="false">IF(COUNT(G2:O2)=0,"",MIN(G2:O2))</f>
        <v>430</v>
      </c>
      <c r="Q2" s="21" t="str">
        <f aca="false">IF(P2="","",INDEX($G$1:$O$1,MATCH(P2,G2:O2,0)))</f>
        <v>Росско</v>
      </c>
      <c r="R2" s="24" t="n">
        <f aca="false">IF(P2="",0,P2*D2)</f>
        <v>430</v>
      </c>
      <c r="S2" s="25" t="s">
        <v>230</v>
      </c>
    </row>
    <row r="3" customFormat="false" ht="15" hidden="false" customHeight="false" outlineLevel="0" collapsed="false">
      <c r="A3" s="6" t="s">
        <v>38</v>
      </c>
      <c r="B3" s="7" t="str">
        <f aca="false">IFERROR(INDEX(Киты!$C:$C,MATCH(A3,Киты!$A:$A,0)),"")</f>
        <v>Hyundai Solaris 2010–2017</v>
      </c>
      <c r="C3" s="7" t="s">
        <v>231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232</v>
      </c>
    </row>
    <row r="4" customFormat="false" ht="15" hidden="false" customHeight="false" outlineLevel="0" collapsed="false">
      <c r="A4" s="6" t="s">
        <v>38</v>
      </c>
      <c r="B4" s="7" t="str">
        <f aca="false">IFERROR(INDEX(Киты!$C:$C,MATCH(A4,Киты!$A:$A,0)),"")</f>
        <v>Hyundai Solaris 2010–2017</v>
      </c>
      <c r="C4" s="7" t="s">
        <v>227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38</v>
      </c>
      <c r="B5" s="7" t="str">
        <f aca="false">IFERROR(INDEX(Киты!$C:$C,MATCH(A5,Киты!$A:$A,0)),"")</f>
        <v>Hyundai Solaris 2010–2017</v>
      </c>
      <c r="C5" s="7" t="s">
        <v>233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38</v>
      </c>
      <c r="B6" s="7" t="str">
        <f aca="false">IFERROR(INDEX(Киты!$C:$C,MATCH(A6,Киты!$A:$A,0)),"")</f>
        <v>Hyundai Solaris 2010–2017</v>
      </c>
      <c r="C6" s="7" t="s">
        <v>234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38</v>
      </c>
      <c r="B7" s="7" t="str">
        <f aca="false">IFERROR(INDEX(Киты!$C:$C,MATCH(A7,Киты!$A:$A,0)),"")</f>
        <v>Hyundai Solaris 2010–2017</v>
      </c>
      <c r="C7" s="7" t="s">
        <v>235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47</v>
      </c>
      <c r="B8" s="7" t="str">
        <f aca="false">IFERROR(INDEX(Киты!$C:$C,MATCH(A8,Киты!$A:$A,0)),"")</f>
        <v>Hyundai Solaris 2017–2022</v>
      </c>
      <c r="C8" s="7" t="s">
        <v>231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232</v>
      </c>
    </row>
    <row r="9" customFormat="false" ht="15" hidden="false" customHeight="false" outlineLevel="0" collapsed="false">
      <c r="A9" s="6" t="s">
        <v>47</v>
      </c>
      <c r="B9" s="7" t="str">
        <f aca="false">IFERROR(INDEX(Киты!$C:$C,MATCH(A9,Киты!$A:$A,0)),"")</f>
        <v>Hyundai Solaris 2017–2022</v>
      </c>
      <c r="C9" s="7" t="s">
        <v>227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47</v>
      </c>
      <c r="B10" s="7" t="str">
        <f aca="false">IFERROR(INDEX(Киты!$C:$C,MATCH(A10,Киты!$A:$A,0)),"")</f>
        <v>Hyundai Solaris 2017–2022</v>
      </c>
      <c r="C10" s="7" t="s">
        <v>233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47</v>
      </c>
      <c r="B11" s="7" t="str">
        <f aca="false">IFERROR(INDEX(Киты!$C:$C,MATCH(A11,Киты!$A:$A,0)),"")</f>
        <v>Hyundai Solaris 2017–2022</v>
      </c>
      <c r="C11" s="7" t="s">
        <v>234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47</v>
      </c>
      <c r="B12" s="7" t="str">
        <f aca="false">IFERROR(INDEX(Киты!$C:$C,MATCH(A12,Киты!$A:$A,0)),"")</f>
        <v>Hyundai Solaris 2017–2022</v>
      </c>
      <c r="C12" s="7" t="s">
        <v>235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52</v>
      </c>
      <c r="B13" s="7" t="str">
        <f aca="false">IFERROR(INDEX(Киты!$C:$C,MATCH(A13,Киты!$A:$A,0)),"")</f>
        <v>Kia Rio 2011–2017</v>
      </c>
      <c r="C13" s="7" t="s">
        <v>231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232</v>
      </c>
    </row>
    <row r="14" customFormat="false" ht="15" hidden="false" customHeight="false" outlineLevel="0" collapsed="false">
      <c r="A14" s="6" t="s">
        <v>52</v>
      </c>
      <c r="B14" s="7" t="str">
        <f aca="false">IFERROR(INDEX(Киты!$C:$C,MATCH(A14,Киты!$A:$A,0)),"")</f>
        <v>Kia Rio 2011–2017</v>
      </c>
      <c r="C14" s="7" t="s">
        <v>227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52</v>
      </c>
      <c r="B15" s="7" t="str">
        <f aca="false">IFERROR(INDEX(Киты!$C:$C,MATCH(A15,Киты!$A:$A,0)),"")</f>
        <v>Kia Rio 2011–2017</v>
      </c>
      <c r="C15" s="7" t="s">
        <v>233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52</v>
      </c>
      <c r="B16" s="7" t="str">
        <f aca="false">IFERROR(INDEX(Киты!$C:$C,MATCH(A16,Киты!$A:$A,0)),"")</f>
        <v>Kia Rio 2011–2017</v>
      </c>
      <c r="C16" s="7" t="s">
        <v>234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52</v>
      </c>
      <c r="B17" s="7" t="str">
        <f aca="false">IFERROR(INDEX(Киты!$C:$C,MATCH(A17,Киты!$A:$A,0)),"")</f>
        <v>Kia Rio 2011–2017</v>
      </c>
      <c r="C17" s="7" t="s">
        <v>235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56</v>
      </c>
      <c r="B18" s="7" t="str">
        <f aca="false">IFERROR(INDEX(Киты!$C:$C,MATCH(A18,Киты!$A:$A,0)),"")</f>
        <v>Kia Rio 2017–2021</v>
      </c>
      <c r="C18" s="7" t="s">
        <v>231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232</v>
      </c>
    </row>
    <row r="19" customFormat="false" ht="15" hidden="false" customHeight="false" outlineLevel="0" collapsed="false">
      <c r="A19" s="6" t="s">
        <v>56</v>
      </c>
      <c r="B19" s="7" t="str">
        <f aca="false">IFERROR(INDEX(Киты!$C:$C,MATCH(A19,Киты!$A:$A,0)),"")</f>
        <v>Kia Rio 2017–2021</v>
      </c>
      <c r="C19" s="7" t="s">
        <v>227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56</v>
      </c>
      <c r="B20" s="7" t="str">
        <f aca="false">IFERROR(INDEX(Киты!$C:$C,MATCH(A20,Киты!$A:$A,0)),"")</f>
        <v>Kia Rio 2017–2021</v>
      </c>
      <c r="C20" s="7" t="s">
        <v>233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56</v>
      </c>
      <c r="B21" s="7" t="str">
        <f aca="false">IFERROR(INDEX(Киты!$C:$C,MATCH(A21,Киты!$A:$A,0)),"")</f>
        <v>Kia Rio 2017–2021</v>
      </c>
      <c r="C21" s="7" t="s">
        <v>234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56</v>
      </c>
      <c r="B22" s="7" t="str">
        <f aca="false">IFERROR(INDEX(Киты!$C:$C,MATCH(A22,Киты!$A:$A,0)),"")</f>
        <v>Kia Rio 2017–2021</v>
      </c>
      <c r="C22" s="7" t="s">
        <v>235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60</v>
      </c>
      <c r="B23" s="7" t="str">
        <f aca="false">IFERROR(INDEX(Киты!$C:$C,MATCH(A23,Киты!$A:$A,0)),"")</f>
        <v>VW Polo 1.6 CFNA</v>
      </c>
      <c r="C23" s="7" t="s">
        <v>231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232</v>
      </c>
    </row>
    <row r="24" customFormat="false" ht="15" hidden="false" customHeight="false" outlineLevel="0" collapsed="false">
      <c r="A24" s="6" t="s">
        <v>60</v>
      </c>
      <c r="B24" s="7" t="str">
        <f aca="false">IFERROR(INDEX(Киты!$C:$C,MATCH(A24,Киты!$A:$A,0)),"")</f>
        <v>VW Polo 1.6 CFNA</v>
      </c>
      <c r="C24" s="7" t="s">
        <v>227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60</v>
      </c>
      <c r="B25" s="7" t="str">
        <f aca="false">IFERROR(INDEX(Киты!$C:$C,MATCH(A25,Киты!$A:$A,0)),"")</f>
        <v>VW Polo 1.6 CFNA</v>
      </c>
      <c r="C25" s="7" t="s">
        <v>233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60</v>
      </c>
      <c r="B26" s="7" t="str">
        <f aca="false">IFERROR(INDEX(Киты!$C:$C,MATCH(A26,Киты!$A:$A,0)),"")</f>
        <v>VW Polo 1.6 CFNA</v>
      </c>
      <c r="C26" s="7" t="s">
        <v>234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60</v>
      </c>
      <c r="B27" s="7" t="str">
        <f aca="false">IFERROR(INDEX(Киты!$C:$C,MATCH(A27,Киты!$A:$A,0)),"")</f>
        <v>VW Polo 1.6 CFNA</v>
      </c>
      <c r="C27" s="7" t="s">
        <v>235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65</v>
      </c>
      <c r="B28" s="7" t="str">
        <f aca="false">IFERROR(INDEX(Киты!$C:$C,MATCH(A28,Киты!$A:$A,0)),"")</f>
        <v>VW Polo 1.6 CWVA</v>
      </c>
      <c r="C28" s="7" t="s">
        <v>231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232</v>
      </c>
    </row>
    <row r="29" customFormat="false" ht="15" hidden="false" customHeight="false" outlineLevel="0" collapsed="false">
      <c r="A29" s="6" t="s">
        <v>65</v>
      </c>
      <c r="B29" s="7" t="str">
        <f aca="false">IFERROR(INDEX(Киты!$C:$C,MATCH(A29,Киты!$A:$A,0)),"")</f>
        <v>VW Polo 1.6 CWVA</v>
      </c>
      <c r="C29" s="7" t="s">
        <v>227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65</v>
      </c>
      <c r="B30" s="7" t="str">
        <f aca="false">IFERROR(INDEX(Киты!$C:$C,MATCH(A30,Киты!$A:$A,0)),"")</f>
        <v>VW Polo 1.6 CWVA</v>
      </c>
      <c r="C30" s="7" t="s">
        <v>233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65</v>
      </c>
      <c r="B31" s="7" t="str">
        <f aca="false">IFERROR(INDEX(Киты!$C:$C,MATCH(A31,Киты!$A:$A,0)),"")</f>
        <v>VW Polo 1.6 CWVA</v>
      </c>
      <c r="C31" s="7" t="s">
        <v>234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65</v>
      </c>
      <c r="B32" s="7" t="str">
        <f aca="false">IFERROR(INDEX(Киты!$C:$C,MATCH(A32,Киты!$A:$A,0)),"")</f>
        <v>VW Polo 1.6 CWVA</v>
      </c>
      <c r="C32" s="7" t="s">
        <v>235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71</v>
      </c>
      <c r="B33" s="7" t="str">
        <f aca="false">IFERROR(INDEX(Киты!$C:$C,MATCH(A33,Киты!$A:$A,0)),"")</f>
        <v>Haval Jolion 1.5T</v>
      </c>
      <c r="C33" s="7" t="s">
        <v>231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232</v>
      </c>
    </row>
    <row r="34" customFormat="false" ht="15" hidden="false" customHeight="false" outlineLevel="0" collapsed="false">
      <c r="A34" s="6" t="s">
        <v>71</v>
      </c>
      <c r="B34" s="7" t="str">
        <f aca="false">IFERROR(INDEX(Киты!$C:$C,MATCH(A34,Киты!$A:$A,0)),"")</f>
        <v>Haval Jolion 1.5T</v>
      </c>
      <c r="C34" s="7" t="s">
        <v>236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237</v>
      </c>
    </row>
    <row r="35" customFormat="false" ht="15" hidden="false" customHeight="false" outlineLevel="0" collapsed="false">
      <c r="A35" s="6" t="s">
        <v>71</v>
      </c>
      <c r="B35" s="7" t="str">
        <f aca="false">IFERROR(INDEX(Киты!$C:$C,MATCH(A35,Киты!$A:$A,0)),"")</f>
        <v>Haval Jolion 1.5T</v>
      </c>
      <c r="C35" s="7" t="s">
        <v>227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71</v>
      </c>
      <c r="B36" s="7" t="str">
        <f aca="false">IFERROR(INDEX(Киты!$C:$C,MATCH(A36,Киты!$A:$A,0)),"")</f>
        <v>Haval Jolion 1.5T</v>
      </c>
      <c r="C36" s="7" t="s">
        <v>233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71</v>
      </c>
      <c r="B37" s="7" t="str">
        <f aca="false">IFERROR(INDEX(Киты!$C:$C,MATCH(A37,Киты!$A:$A,0)),"")</f>
        <v>Haval Jolion 1.5T</v>
      </c>
      <c r="C37" s="7" t="s">
        <v>234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71</v>
      </c>
      <c r="B38" s="7" t="str">
        <f aca="false">IFERROR(INDEX(Киты!$C:$C,MATCH(A38,Киты!$A:$A,0)),"")</f>
        <v>Haval Jolion 1.5T</v>
      </c>
      <c r="C38" s="7" t="s">
        <v>235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76</v>
      </c>
      <c r="B39" s="7" t="str">
        <f aca="false">IFERROR(INDEX(Киты!$C:$C,MATCH(A39,Киты!$A:$A,0)),"")</f>
        <v>Haval F7 / F7x 1.5T</v>
      </c>
      <c r="C39" s="7" t="s">
        <v>231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232</v>
      </c>
    </row>
    <row r="40" customFormat="false" ht="15" hidden="false" customHeight="false" outlineLevel="0" collapsed="false">
      <c r="A40" s="6" t="s">
        <v>76</v>
      </c>
      <c r="B40" s="7" t="str">
        <f aca="false">IFERROR(INDEX(Киты!$C:$C,MATCH(A40,Киты!$A:$A,0)),"")</f>
        <v>Haval F7 / F7x 1.5T</v>
      </c>
      <c r="C40" s="7" t="s">
        <v>236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237</v>
      </c>
    </row>
    <row r="41" customFormat="false" ht="15" hidden="false" customHeight="false" outlineLevel="0" collapsed="false">
      <c r="A41" s="6" t="s">
        <v>76</v>
      </c>
      <c r="B41" s="7" t="str">
        <f aca="false">IFERROR(INDEX(Киты!$C:$C,MATCH(A41,Киты!$A:$A,0)),"")</f>
        <v>Haval F7 / F7x 1.5T</v>
      </c>
      <c r="C41" s="7" t="s">
        <v>227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76</v>
      </c>
      <c r="B42" s="7" t="str">
        <f aca="false">IFERROR(INDEX(Киты!$C:$C,MATCH(A42,Киты!$A:$A,0)),"")</f>
        <v>Haval F7 / F7x 1.5T</v>
      </c>
      <c r="C42" s="7" t="s">
        <v>233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76</v>
      </c>
      <c r="B43" s="7" t="str">
        <f aca="false">IFERROR(INDEX(Киты!$C:$C,MATCH(A43,Киты!$A:$A,0)),"")</f>
        <v>Haval F7 / F7x 1.5T</v>
      </c>
      <c r="C43" s="7" t="s">
        <v>234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76</v>
      </c>
      <c r="B44" s="7" t="str">
        <f aca="false">IFERROR(INDEX(Киты!$C:$C,MATCH(A44,Киты!$A:$A,0)),"")</f>
        <v>Haval F7 / F7x 1.5T</v>
      </c>
      <c r="C44" s="7" t="s">
        <v>235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81</v>
      </c>
      <c r="B45" s="7" t="str">
        <f aca="false">IFERROR(INDEX(Киты!$C:$C,MATCH(A45,Киты!$A:$A,0)),"")</f>
        <v>Haval F7 / F7x 2.0T</v>
      </c>
      <c r="C45" s="7" t="s">
        <v>231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232</v>
      </c>
    </row>
    <row r="46" customFormat="false" ht="15" hidden="false" customHeight="false" outlineLevel="0" collapsed="false">
      <c r="A46" s="6" t="s">
        <v>81</v>
      </c>
      <c r="B46" s="7" t="str">
        <f aca="false">IFERROR(INDEX(Киты!$C:$C,MATCH(A46,Киты!$A:$A,0)),"")</f>
        <v>Haval F7 / F7x 2.0T</v>
      </c>
      <c r="C46" s="7" t="s">
        <v>236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237</v>
      </c>
    </row>
    <row r="47" customFormat="false" ht="15" hidden="false" customHeight="false" outlineLevel="0" collapsed="false">
      <c r="A47" s="6" t="s">
        <v>81</v>
      </c>
      <c r="B47" s="7" t="str">
        <f aca="false">IFERROR(INDEX(Киты!$C:$C,MATCH(A47,Киты!$A:$A,0)),"")</f>
        <v>Haval F7 / F7x 2.0T</v>
      </c>
      <c r="C47" s="7" t="s">
        <v>227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81</v>
      </c>
      <c r="B48" s="7" t="str">
        <f aca="false">IFERROR(INDEX(Киты!$C:$C,MATCH(A48,Киты!$A:$A,0)),"")</f>
        <v>Haval F7 / F7x 2.0T</v>
      </c>
      <c r="C48" s="7" t="s">
        <v>233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81</v>
      </c>
      <c r="B49" s="7" t="str">
        <f aca="false">IFERROR(INDEX(Киты!$C:$C,MATCH(A49,Киты!$A:$A,0)),"")</f>
        <v>Haval F7 / F7x 2.0T</v>
      </c>
      <c r="C49" s="7" t="s">
        <v>234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81</v>
      </c>
      <c r="B50" s="7" t="str">
        <f aca="false">IFERROR(INDEX(Киты!$C:$C,MATCH(A50,Киты!$A:$A,0)),"")</f>
        <v>Haval F7 / F7x 2.0T</v>
      </c>
      <c r="C50" s="7" t="s">
        <v>235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86</v>
      </c>
      <c r="B51" s="7" t="str">
        <f aca="false">IFERROR(INDEX(Киты!$C:$C,MATCH(A51,Киты!$A:$A,0)),"")</f>
        <v>Chery Tiggo 7 Pro 1.5T</v>
      </c>
      <c r="C51" s="7" t="s">
        <v>231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232</v>
      </c>
    </row>
    <row r="52" customFormat="false" ht="15" hidden="false" customHeight="false" outlineLevel="0" collapsed="false">
      <c r="A52" s="6" t="s">
        <v>86</v>
      </c>
      <c r="B52" s="7" t="str">
        <f aca="false">IFERROR(INDEX(Киты!$C:$C,MATCH(A52,Киты!$A:$A,0)),"")</f>
        <v>Chery Tiggo 7 Pro 1.5T</v>
      </c>
      <c r="C52" s="7" t="s">
        <v>236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237</v>
      </c>
    </row>
    <row r="53" customFormat="false" ht="15" hidden="false" customHeight="false" outlineLevel="0" collapsed="false">
      <c r="A53" s="6" t="s">
        <v>86</v>
      </c>
      <c r="B53" s="7" t="str">
        <f aca="false">IFERROR(INDEX(Киты!$C:$C,MATCH(A53,Киты!$A:$A,0)),"")</f>
        <v>Chery Tiggo 7 Pro 1.5T</v>
      </c>
      <c r="C53" s="7" t="s">
        <v>227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86</v>
      </c>
      <c r="B54" s="7" t="str">
        <f aca="false">IFERROR(INDEX(Киты!$C:$C,MATCH(A54,Киты!$A:$A,0)),"")</f>
        <v>Chery Tiggo 7 Pro 1.5T</v>
      </c>
      <c r="C54" s="7" t="s">
        <v>233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86</v>
      </c>
      <c r="B55" s="7" t="str">
        <f aca="false">IFERROR(INDEX(Киты!$C:$C,MATCH(A55,Киты!$A:$A,0)),"")</f>
        <v>Chery Tiggo 7 Pro 1.5T</v>
      </c>
      <c r="C55" s="7" t="s">
        <v>234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86</v>
      </c>
      <c r="B56" s="7" t="str">
        <f aca="false">IFERROR(INDEX(Киты!$C:$C,MATCH(A56,Киты!$A:$A,0)),"")</f>
        <v>Chery Tiggo 7 Pro 1.5T</v>
      </c>
      <c r="C56" s="7" t="s">
        <v>235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91</v>
      </c>
      <c r="B57" s="7" t="str">
        <f aca="false">IFERROR(INDEX(Киты!$C:$C,MATCH(A57,Киты!$A:$A,0)),"")</f>
        <v>Chery Tiggo 4 Pro 1.5T</v>
      </c>
      <c r="C57" s="7" t="s">
        <v>231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232</v>
      </c>
    </row>
    <row r="58" customFormat="false" ht="15" hidden="false" customHeight="false" outlineLevel="0" collapsed="false">
      <c r="A58" s="6" t="s">
        <v>91</v>
      </c>
      <c r="B58" s="7" t="str">
        <f aca="false">IFERROR(INDEX(Киты!$C:$C,MATCH(A58,Киты!$A:$A,0)),"")</f>
        <v>Chery Tiggo 4 Pro 1.5T</v>
      </c>
      <c r="C58" s="7" t="s">
        <v>236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237</v>
      </c>
    </row>
    <row r="59" customFormat="false" ht="15" hidden="false" customHeight="false" outlineLevel="0" collapsed="false">
      <c r="A59" s="6" t="s">
        <v>91</v>
      </c>
      <c r="B59" s="7" t="str">
        <f aca="false">IFERROR(INDEX(Киты!$C:$C,MATCH(A59,Киты!$A:$A,0)),"")</f>
        <v>Chery Tiggo 4 Pro 1.5T</v>
      </c>
      <c r="C59" s="7" t="s">
        <v>227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91</v>
      </c>
      <c r="B60" s="7" t="str">
        <f aca="false">IFERROR(INDEX(Киты!$C:$C,MATCH(A60,Киты!$A:$A,0)),"")</f>
        <v>Chery Tiggo 4 Pro 1.5T</v>
      </c>
      <c r="C60" s="7" t="s">
        <v>233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91</v>
      </c>
      <c r="B61" s="7" t="str">
        <f aca="false">IFERROR(INDEX(Киты!$C:$C,MATCH(A61,Киты!$A:$A,0)),"")</f>
        <v>Chery Tiggo 4 Pro 1.5T</v>
      </c>
      <c r="C61" s="7" t="s">
        <v>234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91</v>
      </c>
      <c r="B62" s="7" t="str">
        <f aca="false">IFERROR(INDEX(Киты!$C:$C,MATCH(A62,Киты!$A:$A,0)),"")</f>
        <v>Chery Tiggo 4 Pro 1.5T</v>
      </c>
      <c r="C62" s="7" t="s">
        <v>235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95</v>
      </c>
      <c r="B63" s="7" t="str">
        <f aca="false">IFERROR(INDEX(Киты!$C:$C,MATCH(A63,Киты!$A:$A,0)),"")</f>
        <v>Geely Coolray 1.5T</v>
      </c>
      <c r="C63" s="7" t="s">
        <v>231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232</v>
      </c>
    </row>
    <row r="64" customFormat="false" ht="15" hidden="false" customHeight="false" outlineLevel="0" collapsed="false">
      <c r="A64" s="6" t="s">
        <v>95</v>
      </c>
      <c r="B64" s="7" t="str">
        <f aca="false">IFERROR(INDEX(Киты!$C:$C,MATCH(A64,Киты!$A:$A,0)),"")</f>
        <v>Geely Coolray 1.5T</v>
      </c>
      <c r="C64" s="7" t="s">
        <v>236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237</v>
      </c>
    </row>
    <row r="65" customFormat="false" ht="15" hidden="false" customHeight="false" outlineLevel="0" collapsed="false">
      <c r="A65" s="6" t="s">
        <v>95</v>
      </c>
      <c r="B65" s="7" t="str">
        <f aca="false">IFERROR(INDEX(Киты!$C:$C,MATCH(A65,Киты!$A:$A,0)),"")</f>
        <v>Geely Coolray 1.5T</v>
      </c>
      <c r="C65" s="7" t="s">
        <v>227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95</v>
      </c>
      <c r="B66" s="7" t="str">
        <f aca="false">IFERROR(INDEX(Киты!$C:$C,MATCH(A66,Киты!$A:$A,0)),"")</f>
        <v>Geely Coolray 1.5T</v>
      </c>
      <c r="C66" s="7" t="s">
        <v>233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95</v>
      </c>
      <c r="B67" s="7" t="str">
        <f aca="false">IFERROR(INDEX(Киты!$C:$C,MATCH(A67,Киты!$A:$A,0)),"")</f>
        <v>Geely Coolray 1.5T</v>
      </c>
      <c r="C67" s="7" t="s">
        <v>234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95</v>
      </c>
      <c r="B68" s="7" t="str">
        <f aca="false">IFERROR(INDEX(Киты!$C:$C,MATCH(A68,Киты!$A:$A,0)),"")</f>
        <v>Geely Coolray 1.5T</v>
      </c>
      <c r="C68" s="7" t="s">
        <v>235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101</v>
      </c>
      <c r="B69" s="7" t="str">
        <f aca="false">IFERROR(INDEX(Киты!$C:$C,MATCH(A69,Киты!$A:$A,0)),"")</f>
        <v>Kia Picanto 1.0 / 1.2</v>
      </c>
      <c r="C69" s="7" t="s">
        <v>231</v>
      </c>
      <c r="D69" s="14" t="n">
        <v>1</v>
      </c>
      <c r="E69" s="14" t="s">
        <v>238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239</v>
      </c>
    </row>
    <row r="70" customFormat="false" ht="15" hidden="false" customHeight="false" outlineLevel="0" collapsed="false">
      <c r="A70" s="6" t="s">
        <v>101</v>
      </c>
      <c r="B70" s="7" t="str">
        <f aca="false">IFERROR(INDEX(Киты!$C:$C,MATCH(A70,Киты!$A:$A,0)),"")</f>
        <v>Kia Picanto 1.0 / 1.2</v>
      </c>
      <c r="C70" s="7" t="s">
        <v>227</v>
      </c>
      <c r="D70" s="14" t="n">
        <v>1</v>
      </c>
      <c r="E70" s="14" t="s">
        <v>240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241</v>
      </c>
    </row>
    <row r="71" customFormat="false" ht="15" hidden="false" customHeight="false" outlineLevel="0" collapsed="false">
      <c r="A71" s="6" t="s">
        <v>101</v>
      </c>
      <c r="B71" s="7" t="str">
        <f aca="false">IFERROR(INDEX(Киты!$C:$C,MATCH(A71,Киты!$A:$A,0)),"")</f>
        <v>Kia Picanto 1.0 / 1.2</v>
      </c>
      <c r="C71" s="7" t="s">
        <v>233</v>
      </c>
      <c r="D71" s="14" t="n">
        <v>1</v>
      </c>
      <c r="E71" s="14" t="s">
        <v>240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242</v>
      </c>
    </row>
    <row r="72" customFormat="false" ht="15" hidden="false" customHeight="false" outlineLevel="0" collapsed="false">
      <c r="A72" s="6" t="s">
        <v>101</v>
      </c>
      <c r="B72" s="7" t="str">
        <f aca="false">IFERROR(INDEX(Киты!$C:$C,MATCH(A72,Киты!$A:$A,0)),"")</f>
        <v>Kia Picanto 1.0 / 1.2</v>
      </c>
      <c r="C72" s="7" t="s">
        <v>234</v>
      </c>
      <c r="D72" s="14" t="n">
        <v>1</v>
      </c>
      <c r="E72" s="14" t="s">
        <v>243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244</v>
      </c>
    </row>
    <row r="73" customFormat="false" ht="15" hidden="false" customHeight="false" outlineLevel="0" collapsed="false">
      <c r="A73" s="6" t="s">
        <v>106</v>
      </c>
      <c r="B73" s="7" t="str">
        <f aca="false">IFERROR(INDEX(Киты!$C:$C,MATCH(A73,Киты!$A:$A,0)),"")</f>
        <v>VW Jetta</v>
      </c>
      <c r="C73" s="7" t="s">
        <v>231</v>
      </c>
      <c r="D73" s="14" t="n">
        <v>1</v>
      </c>
      <c r="E73" s="14" t="s">
        <v>245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246</v>
      </c>
    </row>
    <row r="74" customFormat="false" ht="15" hidden="false" customHeight="false" outlineLevel="0" collapsed="false">
      <c r="A74" s="6" t="s">
        <v>106</v>
      </c>
      <c r="B74" s="7" t="str">
        <f aca="false">IFERROR(INDEX(Киты!$C:$C,MATCH(A74,Киты!$A:$A,0)),"")</f>
        <v>VW Jetta</v>
      </c>
      <c r="C74" s="7" t="s">
        <v>227</v>
      </c>
      <c r="D74" s="14" t="n">
        <v>1</v>
      </c>
      <c r="E74" s="14" t="s">
        <v>240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247</v>
      </c>
    </row>
    <row r="75" customFormat="false" ht="15" hidden="false" customHeight="false" outlineLevel="0" collapsed="false">
      <c r="A75" s="6" t="s">
        <v>106</v>
      </c>
      <c r="B75" s="7" t="str">
        <f aca="false">IFERROR(INDEX(Киты!$C:$C,MATCH(A75,Киты!$A:$A,0)),"")</f>
        <v>VW Jetta</v>
      </c>
      <c r="C75" s="7" t="s">
        <v>233</v>
      </c>
      <c r="D75" s="14" t="n">
        <v>1</v>
      </c>
      <c r="E75" s="14" t="s">
        <v>248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249</v>
      </c>
    </row>
    <row r="76" customFormat="false" ht="15" hidden="false" customHeight="false" outlineLevel="0" collapsed="false">
      <c r="A76" s="6" t="s">
        <v>106</v>
      </c>
      <c r="B76" s="7" t="str">
        <f aca="false">IFERROR(INDEX(Киты!$C:$C,MATCH(A76,Киты!$A:$A,0)),"")</f>
        <v>VW Jetta</v>
      </c>
      <c r="C76" s="7" t="s">
        <v>234</v>
      </c>
      <c r="D76" s="14" t="n">
        <v>1</v>
      </c>
      <c r="E76" s="14" t="s">
        <v>248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250</v>
      </c>
    </row>
    <row r="77" customFormat="false" ht="15" hidden="false" customHeight="false" outlineLevel="0" collapsed="false">
      <c r="A77" s="6" t="s">
        <v>112</v>
      </c>
      <c r="B77" s="7" t="str">
        <f aca="false">IFERROR(INDEX(Киты!$C:$C,MATCH(A77,Киты!$A:$A,0)),"")</f>
        <v>Hyundai Solaris 2010–2017</v>
      </c>
      <c r="C77" s="7" t="s">
        <v>251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252</v>
      </c>
    </row>
    <row r="78" customFormat="false" ht="15" hidden="false" customHeight="false" outlineLevel="0" collapsed="false">
      <c r="A78" s="6" t="s">
        <v>112</v>
      </c>
      <c r="B78" s="7" t="str">
        <f aca="false">IFERROR(INDEX(Киты!$C:$C,MATCH(A78,Киты!$A:$A,0)),"")</f>
        <v>Hyundai Solaris 2010–2017</v>
      </c>
      <c r="C78" s="7" t="s">
        <v>253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112</v>
      </c>
      <c r="B79" s="7" t="str">
        <f aca="false">IFERROR(INDEX(Киты!$C:$C,MATCH(A79,Киты!$A:$A,0)),"")</f>
        <v>Hyundai Solaris 2010–2017</v>
      </c>
      <c r="C79" s="7" t="s">
        <v>254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112</v>
      </c>
      <c r="B80" s="7" t="str">
        <f aca="false">IFERROR(INDEX(Киты!$C:$C,MATCH(A80,Киты!$A:$A,0)),"")</f>
        <v>Hyundai Solaris 2010–2017</v>
      </c>
      <c r="C80" s="7" t="s">
        <v>255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256</v>
      </c>
    </row>
    <row r="81" customFormat="false" ht="15" hidden="false" customHeight="false" outlineLevel="0" collapsed="false">
      <c r="A81" s="6" t="s">
        <v>112</v>
      </c>
      <c r="B81" s="7" t="str">
        <f aca="false">IFERROR(INDEX(Киты!$C:$C,MATCH(A81,Киты!$A:$A,0)),"")</f>
        <v>Hyundai Solaris 2010–2017</v>
      </c>
      <c r="C81" s="7" t="s">
        <v>257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258</v>
      </c>
    </row>
    <row r="82" customFormat="false" ht="15" hidden="false" customHeight="false" outlineLevel="0" collapsed="false">
      <c r="A82" s="6" t="s">
        <v>116</v>
      </c>
      <c r="B82" s="7" t="str">
        <f aca="false">IFERROR(INDEX(Киты!$C:$C,MATCH(A82,Киты!$A:$A,0)),"")</f>
        <v>Hyundai Solaris 2017–2022</v>
      </c>
      <c r="C82" s="7" t="s">
        <v>251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252</v>
      </c>
    </row>
    <row r="83" customFormat="false" ht="15" hidden="false" customHeight="false" outlineLevel="0" collapsed="false">
      <c r="A83" s="6" t="s">
        <v>116</v>
      </c>
      <c r="B83" s="7" t="str">
        <f aca="false">IFERROR(INDEX(Киты!$C:$C,MATCH(A83,Киты!$A:$A,0)),"")</f>
        <v>Hyundai Solaris 2017–2022</v>
      </c>
      <c r="C83" s="7" t="s">
        <v>253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116</v>
      </c>
      <c r="B84" s="7" t="str">
        <f aca="false">IFERROR(INDEX(Киты!$C:$C,MATCH(A84,Киты!$A:$A,0)),"")</f>
        <v>Hyundai Solaris 2017–2022</v>
      </c>
      <c r="C84" s="7" t="s">
        <v>254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116</v>
      </c>
      <c r="B85" s="7" t="str">
        <f aca="false">IFERROR(INDEX(Киты!$C:$C,MATCH(A85,Киты!$A:$A,0)),"")</f>
        <v>Hyundai Solaris 2017–2022</v>
      </c>
      <c r="C85" s="7" t="s">
        <v>255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256</v>
      </c>
    </row>
    <row r="86" customFormat="false" ht="15" hidden="false" customHeight="false" outlineLevel="0" collapsed="false">
      <c r="A86" s="6" t="s">
        <v>116</v>
      </c>
      <c r="B86" s="7" t="str">
        <f aca="false">IFERROR(INDEX(Киты!$C:$C,MATCH(A86,Киты!$A:$A,0)),"")</f>
        <v>Hyundai Solaris 2017–2022</v>
      </c>
      <c r="C86" s="7" t="s">
        <v>257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258</v>
      </c>
    </row>
    <row r="87" customFormat="false" ht="15" hidden="false" customHeight="false" outlineLevel="0" collapsed="false">
      <c r="A87" s="6" t="s">
        <v>119</v>
      </c>
      <c r="B87" s="7" t="str">
        <f aca="false">IFERROR(INDEX(Киты!$C:$C,MATCH(A87,Киты!$A:$A,0)),"")</f>
        <v>Kia Rio 2011–2017</v>
      </c>
      <c r="C87" s="7" t="s">
        <v>251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252</v>
      </c>
    </row>
    <row r="88" customFormat="false" ht="15" hidden="false" customHeight="false" outlineLevel="0" collapsed="false">
      <c r="A88" s="6" t="s">
        <v>119</v>
      </c>
      <c r="B88" s="7" t="str">
        <f aca="false">IFERROR(INDEX(Киты!$C:$C,MATCH(A88,Киты!$A:$A,0)),"")</f>
        <v>Kia Rio 2011–2017</v>
      </c>
      <c r="C88" s="7" t="s">
        <v>253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119</v>
      </c>
      <c r="B89" s="7" t="str">
        <f aca="false">IFERROR(INDEX(Киты!$C:$C,MATCH(A89,Киты!$A:$A,0)),"")</f>
        <v>Kia Rio 2011–2017</v>
      </c>
      <c r="C89" s="7" t="s">
        <v>254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119</v>
      </c>
      <c r="B90" s="7" t="str">
        <f aca="false">IFERROR(INDEX(Киты!$C:$C,MATCH(A90,Киты!$A:$A,0)),"")</f>
        <v>Kia Rio 2011–2017</v>
      </c>
      <c r="C90" s="7" t="s">
        <v>255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256</v>
      </c>
    </row>
    <row r="91" customFormat="false" ht="15" hidden="false" customHeight="false" outlineLevel="0" collapsed="false">
      <c r="A91" s="6" t="s">
        <v>119</v>
      </c>
      <c r="B91" s="7" t="str">
        <f aca="false">IFERROR(INDEX(Киты!$C:$C,MATCH(A91,Киты!$A:$A,0)),"")</f>
        <v>Kia Rio 2011–2017</v>
      </c>
      <c r="C91" s="7" t="s">
        <v>257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258</v>
      </c>
    </row>
    <row r="92" customFormat="false" ht="15" hidden="false" customHeight="false" outlineLevel="0" collapsed="false">
      <c r="A92" s="6" t="s">
        <v>122</v>
      </c>
      <c r="B92" s="7" t="str">
        <f aca="false">IFERROR(INDEX(Киты!$C:$C,MATCH(A92,Киты!$A:$A,0)),"")</f>
        <v>Kia Rio 2017–2021</v>
      </c>
      <c r="C92" s="7" t="s">
        <v>251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252</v>
      </c>
    </row>
    <row r="93" customFormat="false" ht="15" hidden="false" customHeight="false" outlineLevel="0" collapsed="false">
      <c r="A93" s="6" t="s">
        <v>122</v>
      </c>
      <c r="B93" s="7" t="str">
        <f aca="false">IFERROR(INDEX(Киты!$C:$C,MATCH(A93,Киты!$A:$A,0)),"")</f>
        <v>Kia Rio 2017–2021</v>
      </c>
      <c r="C93" s="7" t="s">
        <v>253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122</v>
      </c>
      <c r="B94" s="7" t="str">
        <f aca="false">IFERROR(INDEX(Киты!$C:$C,MATCH(A94,Киты!$A:$A,0)),"")</f>
        <v>Kia Rio 2017–2021</v>
      </c>
      <c r="C94" s="7" t="s">
        <v>254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122</v>
      </c>
      <c r="B95" s="7" t="str">
        <f aca="false">IFERROR(INDEX(Киты!$C:$C,MATCH(A95,Киты!$A:$A,0)),"")</f>
        <v>Kia Rio 2017–2021</v>
      </c>
      <c r="C95" s="7" t="s">
        <v>255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256</v>
      </c>
    </row>
    <row r="96" customFormat="false" ht="15" hidden="false" customHeight="false" outlineLevel="0" collapsed="false">
      <c r="A96" s="6" t="s">
        <v>122</v>
      </c>
      <c r="B96" s="7" t="str">
        <f aca="false">IFERROR(INDEX(Киты!$C:$C,MATCH(A96,Киты!$A:$A,0)),"")</f>
        <v>Kia Rio 2017–2021</v>
      </c>
      <c r="C96" s="7" t="s">
        <v>257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258</v>
      </c>
    </row>
    <row r="97" customFormat="false" ht="15" hidden="false" customHeight="false" outlineLevel="0" collapsed="false">
      <c r="A97" s="6" t="s">
        <v>125</v>
      </c>
      <c r="B97" s="7" t="str">
        <f aca="false">IFERROR(INDEX(Киты!$C:$C,MATCH(A97,Киты!$A:$A,0)),"")</f>
        <v>VW Polo 1.6 CFNA</v>
      </c>
      <c r="C97" s="7" t="s">
        <v>251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252</v>
      </c>
    </row>
    <row r="98" customFormat="false" ht="15" hidden="false" customHeight="false" outlineLevel="0" collapsed="false">
      <c r="A98" s="6" t="s">
        <v>125</v>
      </c>
      <c r="B98" s="7" t="str">
        <f aca="false">IFERROR(INDEX(Киты!$C:$C,MATCH(A98,Киты!$A:$A,0)),"")</f>
        <v>VW Polo 1.6 CFNA</v>
      </c>
      <c r="C98" s="7" t="s">
        <v>253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125</v>
      </c>
      <c r="B99" s="7" t="str">
        <f aca="false">IFERROR(INDEX(Киты!$C:$C,MATCH(A99,Киты!$A:$A,0)),"")</f>
        <v>VW Polo 1.6 CFNA</v>
      </c>
      <c r="C99" s="7" t="s">
        <v>254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125</v>
      </c>
      <c r="B100" s="7" t="str">
        <f aca="false">IFERROR(INDEX(Киты!$C:$C,MATCH(A100,Киты!$A:$A,0)),"")</f>
        <v>VW Polo 1.6 CFNA</v>
      </c>
      <c r="C100" s="7" t="s">
        <v>255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256</v>
      </c>
    </row>
    <row r="101" customFormat="false" ht="15" hidden="false" customHeight="false" outlineLevel="0" collapsed="false">
      <c r="A101" s="6" t="s">
        <v>125</v>
      </c>
      <c r="B101" s="7" t="str">
        <f aca="false">IFERROR(INDEX(Киты!$C:$C,MATCH(A101,Киты!$A:$A,0)),"")</f>
        <v>VW Polo 1.6 CFNA</v>
      </c>
      <c r="C101" s="7" t="s">
        <v>257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258</v>
      </c>
    </row>
    <row r="102" customFormat="false" ht="15" hidden="false" customHeight="false" outlineLevel="0" collapsed="false">
      <c r="A102" s="6" t="s">
        <v>129</v>
      </c>
      <c r="B102" s="7" t="str">
        <f aca="false">IFERROR(INDEX(Киты!$C:$C,MATCH(A102,Киты!$A:$A,0)),"")</f>
        <v>VW Polo 1.6 CWVA</v>
      </c>
      <c r="C102" s="7" t="s">
        <v>259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129</v>
      </c>
      <c r="B103" s="7" t="str">
        <f aca="false">IFERROR(INDEX(Киты!$C:$C,MATCH(A103,Киты!$A:$A,0)),"")</f>
        <v>VW Polo 1.6 CWVA</v>
      </c>
      <c r="C103" s="7" t="s">
        <v>255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256</v>
      </c>
    </row>
    <row r="104" customFormat="false" ht="15" hidden="false" customHeight="false" outlineLevel="0" collapsed="false">
      <c r="A104" s="6" t="s">
        <v>129</v>
      </c>
      <c r="B104" s="7" t="str">
        <f aca="false">IFERROR(INDEX(Киты!$C:$C,MATCH(A104,Киты!$A:$A,0)),"")</f>
        <v>VW Polo 1.6 CWVA</v>
      </c>
      <c r="C104" s="7" t="s">
        <v>257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258</v>
      </c>
    </row>
    <row r="105" customFormat="false" ht="15" hidden="false" customHeight="false" outlineLevel="0" collapsed="false">
      <c r="A105" s="6" t="s">
        <v>132</v>
      </c>
      <c r="B105" s="7" t="str">
        <f aca="false">IFERROR(INDEX(Киты!$C:$C,MATCH(A105,Киты!$A:$A,0)),"")</f>
        <v>Haval Jolion 1.5T</v>
      </c>
      <c r="C105" s="7" t="s">
        <v>251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252</v>
      </c>
    </row>
    <row r="106" customFormat="false" ht="15" hidden="false" customHeight="false" outlineLevel="0" collapsed="false">
      <c r="A106" s="6" t="s">
        <v>132</v>
      </c>
      <c r="B106" s="7" t="str">
        <f aca="false">IFERROR(INDEX(Киты!$C:$C,MATCH(A106,Киты!$A:$A,0)),"")</f>
        <v>Haval Jolion 1.5T</v>
      </c>
      <c r="C106" s="7" t="s">
        <v>253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132</v>
      </c>
      <c r="B107" s="7" t="str">
        <f aca="false">IFERROR(INDEX(Киты!$C:$C,MATCH(A107,Киты!$A:$A,0)),"")</f>
        <v>Haval Jolion 1.5T</v>
      </c>
      <c r="C107" s="7" t="s">
        <v>254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132</v>
      </c>
      <c r="B108" s="7" t="str">
        <f aca="false">IFERROR(INDEX(Киты!$C:$C,MATCH(A108,Киты!$A:$A,0)),"")</f>
        <v>Haval Jolion 1.5T</v>
      </c>
      <c r="C108" s="7" t="s">
        <v>255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256</v>
      </c>
    </row>
    <row r="109" customFormat="false" ht="15" hidden="false" customHeight="false" outlineLevel="0" collapsed="false">
      <c r="A109" s="6" t="s">
        <v>132</v>
      </c>
      <c r="B109" s="7" t="str">
        <f aca="false">IFERROR(INDEX(Киты!$C:$C,MATCH(A109,Киты!$A:$A,0)),"")</f>
        <v>Haval Jolion 1.5T</v>
      </c>
      <c r="C109" s="7" t="s">
        <v>257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258</v>
      </c>
    </row>
    <row r="110" customFormat="false" ht="15" hidden="false" customHeight="false" outlineLevel="0" collapsed="false">
      <c r="A110" s="6" t="s">
        <v>135</v>
      </c>
      <c r="B110" s="7" t="str">
        <f aca="false">IFERROR(INDEX(Киты!$C:$C,MATCH(A110,Киты!$A:$A,0)),"")</f>
        <v>Haval F7 / F7x 1.5T</v>
      </c>
      <c r="C110" s="7" t="s">
        <v>251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252</v>
      </c>
    </row>
    <row r="111" customFormat="false" ht="15" hidden="false" customHeight="false" outlineLevel="0" collapsed="false">
      <c r="A111" s="6" t="s">
        <v>135</v>
      </c>
      <c r="B111" s="7" t="str">
        <f aca="false">IFERROR(INDEX(Киты!$C:$C,MATCH(A111,Киты!$A:$A,0)),"")</f>
        <v>Haval F7 / F7x 1.5T</v>
      </c>
      <c r="C111" s="7" t="s">
        <v>253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135</v>
      </c>
      <c r="B112" s="7" t="str">
        <f aca="false">IFERROR(INDEX(Киты!$C:$C,MATCH(A112,Киты!$A:$A,0)),"")</f>
        <v>Haval F7 / F7x 1.5T</v>
      </c>
      <c r="C112" s="7" t="s">
        <v>254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135</v>
      </c>
      <c r="B113" s="7" t="str">
        <f aca="false">IFERROR(INDEX(Киты!$C:$C,MATCH(A113,Киты!$A:$A,0)),"")</f>
        <v>Haval F7 / F7x 1.5T</v>
      </c>
      <c r="C113" s="7" t="s">
        <v>255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256</v>
      </c>
    </row>
    <row r="114" customFormat="false" ht="15" hidden="false" customHeight="false" outlineLevel="0" collapsed="false">
      <c r="A114" s="6" t="s">
        <v>135</v>
      </c>
      <c r="B114" s="7" t="str">
        <f aca="false">IFERROR(INDEX(Киты!$C:$C,MATCH(A114,Киты!$A:$A,0)),"")</f>
        <v>Haval F7 / F7x 1.5T</v>
      </c>
      <c r="C114" s="7" t="s">
        <v>257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258</v>
      </c>
    </row>
    <row r="115" customFormat="false" ht="15" hidden="false" customHeight="false" outlineLevel="0" collapsed="false">
      <c r="A115" s="6" t="s">
        <v>138</v>
      </c>
      <c r="B115" s="7" t="str">
        <f aca="false">IFERROR(INDEX(Киты!$C:$C,MATCH(A115,Киты!$A:$A,0)),"")</f>
        <v>Haval F7 / F7x 2.0T</v>
      </c>
      <c r="C115" s="7" t="s">
        <v>251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252</v>
      </c>
    </row>
    <row r="116" customFormat="false" ht="15" hidden="false" customHeight="false" outlineLevel="0" collapsed="false">
      <c r="A116" s="6" t="s">
        <v>138</v>
      </c>
      <c r="B116" s="7" t="str">
        <f aca="false">IFERROR(INDEX(Киты!$C:$C,MATCH(A116,Киты!$A:$A,0)),"")</f>
        <v>Haval F7 / F7x 2.0T</v>
      </c>
      <c r="C116" s="7" t="s">
        <v>253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138</v>
      </c>
      <c r="B117" s="7" t="str">
        <f aca="false">IFERROR(INDEX(Киты!$C:$C,MATCH(A117,Киты!$A:$A,0)),"")</f>
        <v>Haval F7 / F7x 2.0T</v>
      </c>
      <c r="C117" s="7" t="s">
        <v>254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138</v>
      </c>
      <c r="B118" s="7" t="str">
        <f aca="false">IFERROR(INDEX(Киты!$C:$C,MATCH(A118,Киты!$A:$A,0)),"")</f>
        <v>Haval F7 / F7x 2.0T</v>
      </c>
      <c r="C118" s="7" t="s">
        <v>255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256</v>
      </c>
    </row>
    <row r="119" customFormat="false" ht="15" hidden="false" customHeight="false" outlineLevel="0" collapsed="false">
      <c r="A119" s="6" t="s">
        <v>138</v>
      </c>
      <c r="B119" s="7" t="str">
        <f aca="false">IFERROR(INDEX(Киты!$C:$C,MATCH(A119,Киты!$A:$A,0)),"")</f>
        <v>Haval F7 / F7x 2.0T</v>
      </c>
      <c r="C119" s="7" t="s">
        <v>257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258</v>
      </c>
    </row>
    <row r="120" customFormat="false" ht="15" hidden="false" customHeight="false" outlineLevel="0" collapsed="false">
      <c r="A120" s="6" t="s">
        <v>141</v>
      </c>
      <c r="B120" s="7" t="str">
        <f aca="false">IFERROR(INDEX(Киты!$C:$C,MATCH(A120,Киты!$A:$A,0)),"")</f>
        <v>Chery Tiggo 7 Pro / 4 Pro 1.5T</v>
      </c>
      <c r="C120" s="7" t="s">
        <v>251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252</v>
      </c>
    </row>
    <row r="121" customFormat="false" ht="15" hidden="false" customHeight="false" outlineLevel="0" collapsed="false">
      <c r="A121" s="6" t="s">
        <v>141</v>
      </c>
      <c r="B121" s="7" t="str">
        <f aca="false">IFERROR(INDEX(Киты!$C:$C,MATCH(A121,Киты!$A:$A,0)),"")</f>
        <v>Chery Tiggo 7 Pro / 4 Pro 1.5T</v>
      </c>
      <c r="C121" s="7" t="s">
        <v>253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141</v>
      </c>
      <c r="B122" s="7" t="str">
        <f aca="false">IFERROR(INDEX(Киты!$C:$C,MATCH(A122,Киты!$A:$A,0)),"")</f>
        <v>Chery Tiggo 7 Pro / 4 Pro 1.5T</v>
      </c>
      <c r="C122" s="7" t="s">
        <v>254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141</v>
      </c>
      <c r="B123" s="7" t="str">
        <f aca="false">IFERROR(INDEX(Киты!$C:$C,MATCH(A123,Киты!$A:$A,0)),"")</f>
        <v>Chery Tiggo 7 Pro / 4 Pro 1.5T</v>
      </c>
      <c r="C123" s="7" t="s">
        <v>255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256</v>
      </c>
    </row>
    <row r="124" customFormat="false" ht="15" hidden="false" customHeight="false" outlineLevel="0" collapsed="false">
      <c r="A124" s="6" t="s">
        <v>141</v>
      </c>
      <c r="B124" s="7" t="str">
        <f aca="false">IFERROR(INDEX(Киты!$C:$C,MATCH(A124,Киты!$A:$A,0)),"")</f>
        <v>Chery Tiggo 7 Pro / 4 Pro 1.5T</v>
      </c>
      <c r="C124" s="7" t="s">
        <v>257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258</v>
      </c>
    </row>
    <row r="125" customFormat="false" ht="15" hidden="false" customHeight="false" outlineLevel="0" collapsed="false">
      <c r="A125" s="6" t="s">
        <v>146</v>
      </c>
      <c r="B125" s="7" t="str">
        <f aca="false">IFERROR(INDEX(Киты!$C:$C,MATCH(A125,Киты!$A:$A,0)),"")</f>
        <v>Geely Coolray 1.5T</v>
      </c>
      <c r="C125" s="7" t="s">
        <v>260</v>
      </c>
      <c r="D125" s="14" t="n">
        <v>1</v>
      </c>
      <c r="E125" s="14" t="s">
        <v>261</v>
      </c>
      <c r="F125" s="14" t="s">
        <v>262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263</v>
      </c>
    </row>
    <row r="126" customFormat="false" ht="15" hidden="false" customHeight="false" outlineLevel="0" collapsed="false">
      <c r="A126" s="6" t="s">
        <v>146</v>
      </c>
      <c r="B126" s="7" t="str">
        <f aca="false">IFERROR(INDEX(Киты!$C:$C,MATCH(A126,Киты!$A:$A,0)),"")</f>
        <v>Geely Coolray 1.5T</v>
      </c>
      <c r="C126" s="7" t="s">
        <v>264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265</v>
      </c>
    </row>
    <row r="127" customFormat="false" ht="15" hidden="false" customHeight="false" outlineLevel="0" collapsed="false">
      <c r="A127" s="6" t="s">
        <v>146</v>
      </c>
      <c r="B127" s="7" t="str">
        <f aca="false">IFERROR(INDEX(Киты!$C:$C,MATCH(A127,Киты!$A:$A,0)),"")</f>
        <v>Geely Coolray 1.5T</v>
      </c>
      <c r="C127" s="7" t="s">
        <v>255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256</v>
      </c>
    </row>
    <row r="128" customFormat="false" ht="15" hidden="false" customHeight="false" outlineLevel="0" collapsed="false">
      <c r="A128" s="6" t="s">
        <v>146</v>
      </c>
      <c r="B128" s="7" t="str">
        <f aca="false">IFERROR(INDEX(Киты!$C:$C,MATCH(A128,Киты!$A:$A,0)),"")</f>
        <v>Geely Coolray 1.5T</v>
      </c>
      <c r="C128" s="7" t="s">
        <v>257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266</v>
      </c>
      <c r="B1" s="5" t="s">
        <v>37</v>
      </c>
      <c r="C1" s="5" t="s">
        <v>267</v>
      </c>
      <c r="D1" s="5" t="s">
        <v>268</v>
      </c>
      <c r="E1" s="5" t="s">
        <v>269</v>
      </c>
      <c r="F1" s="5" t="s">
        <v>270</v>
      </c>
      <c r="G1" s="5" t="s">
        <v>271</v>
      </c>
      <c r="H1" s="5" t="s">
        <v>272</v>
      </c>
      <c r="I1" s="5" t="s">
        <v>273</v>
      </c>
      <c r="J1" s="5" t="s">
        <v>274</v>
      </c>
      <c r="K1" s="5" t="s">
        <v>224</v>
      </c>
    </row>
    <row r="2" customFormat="false" ht="15" hidden="false" customHeight="false" outlineLevel="0" collapsed="false">
      <c r="A2" s="20" t="s">
        <v>225</v>
      </c>
      <c r="B2" s="20" t="s">
        <v>275</v>
      </c>
      <c r="C2" s="20" t="s">
        <v>276</v>
      </c>
      <c r="D2" s="20" t="s">
        <v>277</v>
      </c>
      <c r="E2" s="20" t="n">
        <v>1</v>
      </c>
      <c r="F2" s="20" t="s">
        <v>278</v>
      </c>
      <c r="G2" s="20" t="s">
        <v>279</v>
      </c>
      <c r="H2" s="20" t="s">
        <v>280</v>
      </c>
      <c r="I2" s="20" t="s">
        <v>281</v>
      </c>
      <c r="J2" s="20" t="s">
        <v>282</v>
      </c>
      <c r="K2" s="20" t="s">
        <v>226</v>
      </c>
    </row>
    <row r="3" customFormat="false" ht="15" hidden="false" customHeight="false" outlineLevel="0" collapsed="false">
      <c r="A3" s="6" t="s">
        <v>212</v>
      </c>
      <c r="B3" s="14" t="s">
        <v>275</v>
      </c>
      <c r="C3" s="26"/>
      <c r="D3" s="26"/>
      <c r="E3" s="26"/>
      <c r="F3" s="26"/>
      <c r="G3" s="26"/>
      <c r="H3" s="26"/>
      <c r="I3" s="26"/>
      <c r="J3" s="26"/>
      <c r="K3" s="26"/>
    </row>
    <row r="4" customFormat="false" ht="15" hidden="false" customHeight="false" outlineLevel="0" collapsed="false">
      <c r="A4" s="6" t="s">
        <v>213</v>
      </c>
      <c r="B4" s="14" t="s">
        <v>275</v>
      </c>
      <c r="C4" s="26"/>
      <c r="D4" s="26"/>
      <c r="E4" s="26"/>
      <c r="F4" s="26"/>
      <c r="G4" s="26"/>
      <c r="H4" s="26"/>
      <c r="I4" s="26"/>
      <c r="J4" s="26"/>
      <c r="K4" s="26"/>
    </row>
    <row r="5" customFormat="false" ht="15" hidden="false" customHeight="false" outlineLevel="0" collapsed="false">
      <c r="A5" s="6" t="s">
        <v>214</v>
      </c>
      <c r="B5" s="14" t="s">
        <v>275</v>
      </c>
      <c r="C5" s="26"/>
      <c r="D5" s="26"/>
      <c r="E5" s="26"/>
      <c r="F5" s="26"/>
      <c r="G5" s="26"/>
      <c r="H5" s="26"/>
      <c r="I5" s="26"/>
      <c r="J5" s="26"/>
      <c r="K5" s="26"/>
    </row>
    <row r="6" customFormat="false" ht="15" hidden="false" customHeight="false" outlineLevel="0" collapsed="false">
      <c r="A6" s="6" t="s">
        <v>215</v>
      </c>
      <c r="B6" s="14" t="s">
        <v>275</v>
      </c>
      <c r="C6" s="26"/>
      <c r="D6" s="26"/>
      <c r="E6" s="26"/>
      <c r="F6" s="26"/>
      <c r="G6" s="26"/>
      <c r="H6" s="26"/>
      <c r="I6" s="26"/>
      <c r="J6" s="26"/>
      <c r="K6" s="26"/>
    </row>
    <row r="7" customFormat="false" ht="15" hidden="false" customHeight="false" outlineLevel="0" collapsed="false">
      <c r="A7" s="6" t="s">
        <v>216</v>
      </c>
      <c r="B7" s="14" t="s">
        <v>275</v>
      </c>
      <c r="C7" s="26"/>
      <c r="D7" s="26"/>
      <c r="E7" s="26"/>
      <c r="F7" s="26"/>
      <c r="G7" s="26"/>
      <c r="H7" s="26"/>
      <c r="I7" s="26"/>
      <c r="J7" s="26"/>
      <c r="K7" s="26"/>
    </row>
    <row r="8" customFormat="false" ht="15" hidden="false" customHeight="false" outlineLevel="0" collapsed="false">
      <c r="A8" s="6" t="s">
        <v>217</v>
      </c>
      <c r="B8" s="14" t="s">
        <v>275</v>
      </c>
      <c r="C8" s="26"/>
      <c r="D8" s="26"/>
      <c r="E8" s="26"/>
      <c r="F8" s="26"/>
      <c r="G8" s="26"/>
      <c r="H8" s="26"/>
      <c r="I8" s="26"/>
      <c r="J8" s="26"/>
      <c r="K8" s="26"/>
    </row>
    <row r="9" customFormat="false" ht="15" hidden="false" customHeight="false" outlineLevel="0" collapsed="false">
      <c r="A9" s="6" t="s">
        <v>218</v>
      </c>
      <c r="B9" s="14" t="s">
        <v>283</v>
      </c>
      <c r="C9" s="26"/>
      <c r="D9" s="26"/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A10" s="6" t="s">
        <v>219</v>
      </c>
      <c r="B10" s="14" t="s">
        <v>275</v>
      </c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" hidden="false" customHeight="false" outlineLevel="0" collapsed="false">
      <c r="A11" s="6" t="s">
        <v>220</v>
      </c>
      <c r="B11" s="14" t="s">
        <v>275</v>
      </c>
      <c r="C11" s="26"/>
      <c r="D11" s="26"/>
      <c r="E11" s="26"/>
      <c r="F11" s="26"/>
      <c r="G11" s="26"/>
      <c r="H11" s="26"/>
      <c r="I11" s="26"/>
      <c r="J11" s="26"/>
      <c r="K11" s="26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16</v>
      </c>
      <c r="B1" s="5" t="s">
        <v>284</v>
      </c>
      <c r="C1" s="5" t="s">
        <v>17</v>
      </c>
      <c r="D1" s="5" t="s">
        <v>18</v>
      </c>
      <c r="E1" s="5" t="s">
        <v>285</v>
      </c>
      <c r="F1" s="5" t="s">
        <v>286</v>
      </c>
      <c r="G1" s="5" t="s">
        <v>287</v>
      </c>
    </row>
    <row r="2" customFormat="false" ht="23.85" hidden="false" customHeight="false" outlineLevel="0" collapsed="false">
      <c r="A2" s="8" t="s">
        <v>288</v>
      </c>
      <c r="B2" s="8" t="s">
        <v>289</v>
      </c>
      <c r="C2" s="8" t="s">
        <v>290</v>
      </c>
      <c r="D2" s="8" t="s">
        <v>42</v>
      </c>
      <c r="E2" s="8" t="s">
        <v>291</v>
      </c>
      <c r="F2" s="8" t="s">
        <v>292</v>
      </c>
      <c r="G2" s="8" t="s">
        <v>293</v>
      </c>
    </row>
    <row r="3" customFormat="false" ht="23.85" hidden="false" customHeight="false" outlineLevel="0" collapsed="false">
      <c r="A3" s="8" t="s">
        <v>288</v>
      </c>
      <c r="B3" s="8" t="s">
        <v>294</v>
      </c>
      <c r="C3" s="8" t="s">
        <v>295</v>
      </c>
      <c r="D3" s="8" t="s">
        <v>42</v>
      </c>
      <c r="E3" s="8" t="s">
        <v>291</v>
      </c>
      <c r="F3" s="8" t="s">
        <v>296</v>
      </c>
      <c r="G3" s="8" t="s">
        <v>297</v>
      </c>
    </row>
    <row r="4" customFormat="false" ht="23.85" hidden="false" customHeight="false" outlineLevel="0" collapsed="false">
      <c r="A4" s="8" t="s">
        <v>298</v>
      </c>
      <c r="B4" s="8" t="s">
        <v>299</v>
      </c>
      <c r="C4" s="8" t="s">
        <v>300</v>
      </c>
      <c r="D4" s="8" t="s">
        <v>42</v>
      </c>
      <c r="E4" s="8" t="s">
        <v>291</v>
      </c>
      <c r="F4" s="8" t="s">
        <v>301</v>
      </c>
      <c r="G4" s="8" t="s">
        <v>297</v>
      </c>
    </row>
    <row r="5" customFormat="false" ht="15" hidden="false" customHeight="false" outlineLevel="0" collapsed="false">
      <c r="A5" s="8" t="s">
        <v>302</v>
      </c>
      <c r="B5" s="8" t="s">
        <v>303</v>
      </c>
      <c r="C5" s="8" t="s">
        <v>304</v>
      </c>
      <c r="D5" s="8" t="s">
        <v>68</v>
      </c>
      <c r="E5" s="8" t="s">
        <v>305</v>
      </c>
      <c r="F5" s="8" t="s">
        <v>301</v>
      </c>
      <c r="G5" s="8" t="s">
        <v>297</v>
      </c>
    </row>
    <row r="6" customFormat="false" ht="23.85" hidden="false" customHeight="false" outlineLevel="0" collapsed="false">
      <c r="A6" s="8" t="s">
        <v>306</v>
      </c>
      <c r="B6" s="8" t="s">
        <v>307</v>
      </c>
      <c r="C6" s="8" t="s">
        <v>308</v>
      </c>
      <c r="D6" s="8" t="s">
        <v>42</v>
      </c>
      <c r="E6" s="8" t="s">
        <v>291</v>
      </c>
      <c r="F6" s="8" t="s">
        <v>309</v>
      </c>
      <c r="G6" s="8" t="s">
        <v>310</v>
      </c>
    </row>
    <row r="7" customFormat="false" ht="23.85" hidden="false" customHeight="false" outlineLevel="0" collapsed="false">
      <c r="A7" s="8" t="s">
        <v>311</v>
      </c>
      <c r="B7" s="8" t="s">
        <v>312</v>
      </c>
      <c r="C7" s="8" t="s">
        <v>313</v>
      </c>
      <c r="D7" s="8" t="s">
        <v>42</v>
      </c>
      <c r="E7" s="8" t="s">
        <v>291</v>
      </c>
      <c r="F7" s="8" t="s">
        <v>309</v>
      </c>
      <c r="G7" s="8" t="s">
        <v>314</v>
      </c>
    </row>
    <row r="8" customFormat="false" ht="23.85" hidden="false" customHeight="false" outlineLevel="0" collapsed="false">
      <c r="A8" s="8" t="s">
        <v>315</v>
      </c>
      <c r="B8" s="8" t="s">
        <v>316</v>
      </c>
      <c r="C8" s="8" t="s">
        <v>317</v>
      </c>
      <c r="D8" s="8" t="s">
        <v>42</v>
      </c>
      <c r="E8" s="8" t="s">
        <v>291</v>
      </c>
      <c r="F8" s="8" t="s">
        <v>309</v>
      </c>
      <c r="G8" s="8" t="s">
        <v>318</v>
      </c>
    </row>
    <row r="9" customFormat="false" ht="23.85" hidden="false" customHeight="false" outlineLevel="0" collapsed="false">
      <c r="A9" s="8" t="s">
        <v>319</v>
      </c>
      <c r="B9" s="8" t="s">
        <v>316</v>
      </c>
      <c r="C9" s="8" t="s">
        <v>320</v>
      </c>
      <c r="D9" s="8" t="s">
        <v>98</v>
      </c>
      <c r="E9" s="8" t="s">
        <v>321</v>
      </c>
      <c r="F9" s="8" t="s">
        <v>309</v>
      </c>
      <c r="G9" s="8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2026-09-27T20:04:40Z</dcterms:created>
  <dc:creator>openpyxl</dc:creator>
  <dc:description/>
  <dc:language>en-US</dc:language>
  <cp:lastModifiedBy/>
  <dcterms:modified xsi:type="dcterms:W3CDTF">2026-09-27T20:04:41Z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